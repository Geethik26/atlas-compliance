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<sst xmlns="http://schemas.openxmlformats.org/spreadsheetml/2006/main" count="1133" uniqueCount="479">
  <si>
    <t>employee_id</t>
  </si>
  <si>
    <t>legal_first_name</t>
  </si>
  <si>
    <t>legal_last_name</t>
  </si>
  <si>
    <t>personal_email</t>
  </si>
  <si>
    <t>personal_phone</t>
  </si>
  <si>
    <t>date_of_birth</t>
  </si>
  <si>
    <t>national_id</t>
  </si>
  <si>
    <t>bank_account_token</t>
  </si>
  <si>
    <t>home_address_line_1</t>
  </si>
  <si>
    <t>home_city</t>
  </si>
  <si>
    <t>home_state</t>
  </si>
  <si>
    <t>home_postal_code</t>
  </si>
  <si>
    <t>work_country</t>
  </si>
  <si>
    <t>work_state</t>
  </si>
  <si>
    <t>work_location_code</t>
  </si>
  <si>
    <t>pay_basis</t>
  </si>
  <si>
    <t>hourly_rate_ast</t>
  </si>
  <si>
    <t>annual_salary_ast</t>
  </si>
  <si>
    <t>scheduled_hours_per_week</t>
  </si>
  <si>
    <t>currency</t>
  </si>
  <si>
    <t>employment_status</t>
  </si>
  <si>
    <t>minimum_wage_coverage</t>
  </si>
  <si>
    <t>department</t>
  </si>
  <si>
    <t>job_title</t>
  </si>
  <si>
    <t>manager</t>
  </si>
  <si>
    <t>start_date</t>
  </si>
  <si>
    <t>gender</t>
  </si>
  <si>
    <t>marital_status</t>
  </si>
  <si>
    <t>emergency_contact</t>
  </si>
  <si>
    <t>AST-0001</t>
  </si>
  <si>
    <t>Avery</t>
  </si>
  <si>
    <t>Alder</t>
  </si>
  <si>
    <t>avery.alder@example.invalid</t>
  </si>
  <si>
    <t>SYN-840000</t>
  </si>
  <si>
    <t>tok_synthetic_0001</t>
  </si>
  <si>
    <t>100 Aurora Way</t>
  </si>
  <si>
    <t>Aster City</t>
  </si>
  <si>
    <t>Federal Territory</t>
  </si>
  <si>
    <t>A1000</t>
  </si>
  <si>
    <t>Asteria</t>
  </si>
  <si>
    <t>FT-1</t>
  </si>
  <si>
    <t>Hourly</t>
  </si>
  <si>
    <t>AST</t>
  </si>
  <si>
    <t>Active</t>
  </si>
  <si>
    <t>Covered</t>
  </si>
  <si>
    <t>Finance</t>
  </si>
  <si>
    <t>Analyst</t>
  </si>
  <si>
    <t>M-100 A. Rowan</t>
  </si>
  <si>
    <t>Female</t>
  </si>
  <si>
    <t>Single</t>
  </si>
  <si>
    <t>Harper Dale +999-444-2000</t>
  </si>
  <si>
    <t>AST-0002</t>
  </si>
  <si>
    <t>Blake</t>
  </si>
  <si>
    <t>Brook</t>
  </si>
  <si>
    <t>blake.brook@example.invalid</t>
  </si>
  <si>
    <t>SYN-840001</t>
  </si>
  <si>
    <t>tok_synthetic_0002</t>
  </si>
  <si>
    <t>101 Civic Lane</t>
  </si>
  <si>
    <t>Highplain</t>
  </si>
  <si>
    <t>A1001</t>
  </si>
  <si>
    <t>FT-2</t>
  </si>
  <si>
    <t>People</t>
  </si>
  <si>
    <t>Coordinator</t>
  </si>
  <si>
    <t>M-101 J. Cedar</t>
  </si>
  <si>
    <t>Male</t>
  </si>
  <si>
    <t>Married</t>
  </si>
  <si>
    <t>Indigo Ever +999-444-2001</t>
  </si>
  <si>
    <t>AST-0003</t>
  </si>
  <si>
    <t>Cameron</t>
  </si>
  <si>
    <t>Cove</t>
  </si>
  <si>
    <t>cameron.cove@example.invalid</t>
  </si>
  <si>
    <t>SYN-840002</t>
  </si>
  <si>
    <t>tok_synthetic_0003</t>
  </si>
  <si>
    <t>102 Harbor Road</t>
  </si>
  <si>
    <t>Eastport</t>
  </si>
  <si>
    <t>A1002</t>
  </si>
  <si>
    <t>FT-3</t>
  </si>
  <si>
    <t>Annual Salary</t>
  </si>
  <si>
    <t>Operations</t>
  </si>
  <si>
    <t>Specialist</t>
  </si>
  <si>
    <t>M-102 R. Elm</t>
  </si>
  <si>
    <t>Nonbinary</t>
  </si>
  <si>
    <t>Prefer not to say</t>
  </si>
  <si>
    <t>Jordan Frost +999-444-2002</t>
  </si>
  <si>
    <t>AST-0004</t>
  </si>
  <si>
    <t>Dakota</t>
  </si>
  <si>
    <t>Dale</t>
  </si>
  <si>
    <t>dakota.dale@example.invalid</t>
  </si>
  <si>
    <t>SYN-840003</t>
  </si>
  <si>
    <t>tok_synthetic_0004</t>
  </si>
  <si>
    <t>103 Juniper Street</t>
  </si>
  <si>
    <t>A1003</t>
  </si>
  <si>
    <t>Engineering</t>
  </si>
  <si>
    <t>Associate</t>
  </si>
  <si>
    <t>M-103 S. Birch</t>
  </si>
  <si>
    <t>Kai Glen +999-444-2003</t>
  </si>
  <si>
    <t>AST-0005</t>
  </si>
  <si>
    <t>Emery</t>
  </si>
  <si>
    <t>Ever</t>
  </si>
  <si>
    <t>emery.ever@example.invalid</t>
  </si>
  <si>
    <t>SYN-840004</t>
  </si>
  <si>
    <t>tok_synthetic_0005</t>
  </si>
  <si>
    <t>104 Market Avenue</t>
  </si>
  <si>
    <t>A1004</t>
  </si>
  <si>
    <t>Sales</t>
  </si>
  <si>
    <t>Technician</t>
  </si>
  <si>
    <t>Lane Hart +999-444-2004</t>
  </si>
  <si>
    <t>AST-0006</t>
  </si>
  <si>
    <t>Finley</t>
  </si>
  <si>
    <t>Frost</t>
  </si>
  <si>
    <t>finley.frost@example.invalid</t>
  </si>
  <si>
    <t>SYN-840005</t>
  </si>
  <si>
    <t>tok_synthetic_0006</t>
  </si>
  <si>
    <t>105 River Drive</t>
  </si>
  <si>
    <t>A1005</t>
  </si>
  <si>
    <t>Support</t>
  </si>
  <si>
    <t>Representative</t>
  </si>
  <si>
    <t>Morgan Isle +999-444-2005</t>
  </si>
  <si>
    <t>AST-0007</t>
  </si>
  <si>
    <t>Gray</t>
  </si>
  <si>
    <t>Glen</t>
  </si>
  <si>
    <t>gray.glen@example.invalid</t>
  </si>
  <si>
    <t>SYN-840006</t>
  </si>
  <si>
    <t>tok_synthetic_0007</t>
  </si>
  <si>
    <t>106 Aurora Way</t>
  </si>
  <si>
    <t>A1006</t>
  </si>
  <si>
    <t>Nova Jade +999-444-2006</t>
  </si>
  <si>
    <t>AST-0008</t>
  </si>
  <si>
    <t>Harper</t>
  </si>
  <si>
    <t>Hart</t>
  </si>
  <si>
    <t>harper.hart@example.invalid</t>
  </si>
  <si>
    <t>SYN-840007</t>
  </si>
  <si>
    <t>tok_synthetic_0008</t>
  </si>
  <si>
    <t>107 Civic Lane</t>
  </si>
  <si>
    <t>A1007</t>
  </si>
  <si>
    <t>Oakley Knoll +999-444-2007</t>
  </si>
  <si>
    <t>AST-0009</t>
  </si>
  <si>
    <t>Indigo</t>
  </si>
  <si>
    <t>Isle</t>
  </si>
  <si>
    <t>indigo.isle@example.invalid</t>
  </si>
  <si>
    <t>SYN-840008</t>
  </si>
  <si>
    <t>tok_synthetic_0009</t>
  </si>
  <si>
    <t>108 Harbor Road</t>
  </si>
  <si>
    <t>A1008</t>
  </si>
  <si>
    <t>Parker Lake +999-444-2008</t>
  </si>
  <si>
    <t>AST-0010</t>
  </si>
  <si>
    <t>Jordan</t>
  </si>
  <si>
    <t>Jade</t>
  </si>
  <si>
    <t>jordan.jade@example.invalid</t>
  </si>
  <si>
    <t>SYN-840009</t>
  </si>
  <si>
    <t>tok_synthetic_0010</t>
  </si>
  <si>
    <t>109 Juniper Street</t>
  </si>
  <si>
    <t>A1009</t>
  </si>
  <si>
    <t>Quinn Moon +999-444-2009</t>
  </si>
  <si>
    <t>AST-0011</t>
  </si>
  <si>
    <t>Kai</t>
  </si>
  <si>
    <t>Knoll</t>
  </si>
  <si>
    <t>kai.knoll@example.invalid</t>
  </si>
  <si>
    <t>SYN-840010</t>
  </si>
  <si>
    <t>tok_synthetic_0011</t>
  </si>
  <si>
    <t>110 Market Avenue</t>
  </si>
  <si>
    <t>A1010</t>
  </si>
  <si>
    <t>Reese North +999-444-2010</t>
  </si>
  <si>
    <t>AST-0012</t>
  </si>
  <si>
    <t>Lane</t>
  </si>
  <si>
    <t>Lake</t>
  </si>
  <si>
    <t>lane.lake@example.invalid</t>
  </si>
  <si>
    <t>SYN-840011</t>
  </si>
  <si>
    <t>tok_synthetic_0012</t>
  </si>
  <si>
    <t>111 River Drive</t>
  </si>
  <si>
    <t>A1011</t>
  </si>
  <si>
    <t>Sage Oaks +999-444-2011</t>
  </si>
  <si>
    <t>AST-0013</t>
  </si>
  <si>
    <t>Morgan</t>
  </si>
  <si>
    <t>Moon</t>
  </si>
  <si>
    <t>morgan.moon@example.invalid</t>
  </si>
  <si>
    <t>SYN-840012</t>
  </si>
  <si>
    <t>tok_synthetic_0013</t>
  </si>
  <si>
    <t>112 Aurora Way</t>
  </si>
  <si>
    <t>A1012</t>
  </si>
  <si>
    <t>Taylor Pine +999-444-2012</t>
  </si>
  <si>
    <t>AST-0014</t>
  </si>
  <si>
    <t>Nova</t>
  </si>
  <si>
    <t>North</t>
  </si>
  <si>
    <t>nova.north@example.invalid</t>
  </si>
  <si>
    <t>SYN-840013</t>
  </si>
  <si>
    <t>tok_synthetic_0014</t>
  </si>
  <si>
    <t>113 Civic Lane</t>
  </si>
  <si>
    <t>A1013</t>
  </si>
  <si>
    <t>Uma Quest +999-444-2013</t>
  </si>
  <si>
    <t>AST-0015</t>
  </si>
  <si>
    <t>Oakley</t>
  </si>
  <si>
    <t>Oaks</t>
  </si>
  <si>
    <t>oakley.oaks@example.invalid</t>
  </si>
  <si>
    <t>SYN-840014</t>
  </si>
  <si>
    <t>tok_synthetic_0015</t>
  </si>
  <si>
    <t>114 Harbor Road</t>
  </si>
  <si>
    <t>A1014</t>
  </si>
  <si>
    <t>Val Reed +999-444-2014</t>
  </si>
  <si>
    <t>AST-0016</t>
  </si>
  <si>
    <t>Parker</t>
  </si>
  <si>
    <t>Pine</t>
  </si>
  <si>
    <t>parker.pine@example.invalid</t>
  </si>
  <si>
    <t>SYN-840015</t>
  </si>
  <si>
    <t>tok_synthetic_0016</t>
  </si>
  <si>
    <t>115 Juniper Street</t>
  </si>
  <si>
    <t>A1015</t>
  </si>
  <si>
    <t>Winter Stone +999-444-2015</t>
  </si>
  <si>
    <t>AST-0017</t>
  </si>
  <si>
    <t>Quinn</t>
  </si>
  <si>
    <t>Quest</t>
  </si>
  <si>
    <t>quinn.quest@example.invalid</t>
  </si>
  <si>
    <t>SYN-840016</t>
  </si>
  <si>
    <t>tok_synthetic_0017</t>
  </si>
  <si>
    <t>116 Market Avenue</t>
  </si>
  <si>
    <t>A1016</t>
  </si>
  <si>
    <t>Xen Thorn +999-444-2016</t>
  </si>
  <si>
    <t>AST-0018</t>
  </si>
  <si>
    <t>Reese</t>
  </si>
  <si>
    <t>Reed</t>
  </si>
  <si>
    <t>reese.reed@example.invalid</t>
  </si>
  <si>
    <t>SYN-840017</t>
  </si>
  <si>
    <t>tok_synthetic_0018</t>
  </si>
  <si>
    <t>117 River Drive</t>
  </si>
  <si>
    <t>A1017</t>
  </si>
  <si>
    <t>Yael Vale +999-444-2017</t>
  </si>
  <si>
    <t>AST-0019</t>
  </si>
  <si>
    <t>Sage</t>
  </si>
  <si>
    <t>Stone</t>
  </si>
  <si>
    <t>sage.stone@example.invalid</t>
  </si>
  <si>
    <t>SYN-840018</t>
  </si>
  <si>
    <t>tok_synthetic_0019</t>
  </si>
  <si>
    <t>118 Aurora Way</t>
  </si>
  <si>
    <t>A1018</t>
  </si>
  <si>
    <t>Zuri West +999-444-2018</t>
  </si>
  <si>
    <t>AST-0020</t>
  </si>
  <si>
    <t>Taylor</t>
  </si>
  <si>
    <t>Thorn</t>
  </si>
  <si>
    <t>taylor.thorn@example.invalid</t>
  </si>
  <si>
    <t>SYN-840019</t>
  </si>
  <si>
    <t>tok_synthetic_0020</t>
  </si>
  <si>
    <t>119 Civic Lane</t>
  </si>
  <si>
    <t>A1019</t>
  </si>
  <si>
    <t>Arden Young +999-444-2019</t>
  </si>
  <si>
    <t>AST-0021</t>
  </si>
  <si>
    <t>Uma</t>
  </si>
  <si>
    <t>Vale</t>
  </si>
  <si>
    <t>uma.vale@example.invalid</t>
  </si>
  <si>
    <t>SYN-840020</t>
  </si>
  <si>
    <t>tok_synthetic_0021</t>
  </si>
  <si>
    <t>120 Harbor Road</t>
  </si>
  <si>
    <t>A1020</t>
  </si>
  <si>
    <t>Briar Zen +999-444-2020</t>
  </si>
  <si>
    <t>AST-0022</t>
  </si>
  <si>
    <t>Val</t>
  </si>
  <si>
    <t>West</t>
  </si>
  <si>
    <t>val.west@example.invalid</t>
  </si>
  <si>
    <t>SYN-840021</t>
  </si>
  <si>
    <t>tok_synthetic_0022</t>
  </si>
  <si>
    <t>121 Juniper Street</t>
  </si>
  <si>
    <t>A1021</t>
  </si>
  <si>
    <t>Casey Alder +999-444-2021</t>
  </si>
  <si>
    <t>AST-0023</t>
  </si>
  <si>
    <t>Winter</t>
  </si>
  <si>
    <t>Young</t>
  </si>
  <si>
    <t>winter.young@example.invalid</t>
  </si>
  <si>
    <t>SYN-840022</t>
  </si>
  <si>
    <t>tok_synthetic_0023</t>
  </si>
  <si>
    <t>122 Market Avenue</t>
  </si>
  <si>
    <t>A1022</t>
  </si>
  <si>
    <t>Drew Brook +999-444-2022</t>
  </si>
  <si>
    <t>AST-0024</t>
  </si>
  <si>
    <t>Xen</t>
  </si>
  <si>
    <t>Zen</t>
  </si>
  <si>
    <t>xen.zen@example.invalid</t>
  </si>
  <si>
    <t>SYN-840023</t>
  </si>
  <si>
    <t>tok_synthetic_0024</t>
  </si>
  <si>
    <t>123 River Drive</t>
  </si>
  <si>
    <t>A1023</t>
  </si>
  <si>
    <t>Ellis Cove +999-444-2023</t>
  </si>
  <si>
    <t>AST-0025</t>
  </si>
  <si>
    <t>Yael</t>
  </si>
  <si>
    <t>yael.alder@example.invalid</t>
  </si>
  <si>
    <t>SYN-840024</t>
  </si>
  <si>
    <t>tok_synthetic_0025</t>
  </si>
  <si>
    <t>124 Aurora Way</t>
  </si>
  <si>
    <t>Northbridge</t>
  </si>
  <si>
    <t>Bellwether</t>
  </si>
  <si>
    <t>A1024</t>
  </si>
  <si>
    <t>BW-1</t>
  </si>
  <si>
    <t>Flynn Dale +999-444-2024</t>
  </si>
  <si>
    <t>AST-0026</t>
  </si>
  <si>
    <t>Zuri</t>
  </si>
  <si>
    <t>zuri.brook@example.invalid</t>
  </si>
  <si>
    <t>SYN-840025</t>
  </si>
  <si>
    <t>tok_synthetic_0026</t>
  </si>
  <si>
    <t>125 Civic Lane</t>
  </si>
  <si>
    <t>Clearwater</t>
  </si>
  <si>
    <t>A1025</t>
  </si>
  <si>
    <t>BW-2</t>
  </si>
  <si>
    <t>Gale Ever +999-444-2025</t>
  </si>
  <si>
    <t>AST-0027</t>
  </si>
  <si>
    <t>Arden</t>
  </si>
  <si>
    <t>arden.cove@example.invalid</t>
  </si>
  <si>
    <t>SYN-840026</t>
  </si>
  <si>
    <t>tok_synthetic_0027</t>
  </si>
  <si>
    <t>126 Harbor Road</t>
  </si>
  <si>
    <t>Stonehaven</t>
  </si>
  <si>
    <t>A1026</t>
  </si>
  <si>
    <t>BW-3</t>
  </si>
  <si>
    <t>Haven Frost +999-444-2026</t>
  </si>
  <si>
    <t>AST-0028</t>
  </si>
  <si>
    <t>Briar</t>
  </si>
  <si>
    <t>briar.dale@example.invalid</t>
  </si>
  <si>
    <t>SYN-840027</t>
  </si>
  <si>
    <t>tok_synthetic_0028</t>
  </si>
  <si>
    <t>127 Juniper Street</t>
  </si>
  <si>
    <t>A1027</t>
  </si>
  <si>
    <t>Ira Glen +999-444-2027</t>
  </si>
  <si>
    <t>AST-0029</t>
  </si>
  <si>
    <t>Casey</t>
  </si>
  <si>
    <t>casey.ever@example.invalid</t>
  </si>
  <si>
    <t>SYN-840028</t>
  </si>
  <si>
    <t>tok_synthetic_0029</t>
  </si>
  <si>
    <t>128 Market Avenue</t>
  </si>
  <si>
    <t>A1028</t>
  </si>
  <si>
    <t>Jules Hart +999-444-2028</t>
  </si>
  <si>
    <t>AST-0030</t>
  </si>
  <si>
    <t>Drew</t>
  </si>
  <si>
    <t>drew.frost@example.invalid</t>
  </si>
  <si>
    <t>SYN-840029</t>
  </si>
  <si>
    <t>tok_synthetic_0030</t>
  </si>
  <si>
    <t>129 River Drive</t>
  </si>
  <si>
    <t>A1029</t>
  </si>
  <si>
    <t>Kendall Isle +999-444-2029</t>
  </si>
  <si>
    <t>AST-0031</t>
  </si>
  <si>
    <t>Ellis</t>
  </si>
  <si>
    <t>ellis.glen@example.invalid</t>
  </si>
  <si>
    <t>SYN-840030</t>
  </si>
  <si>
    <t>tok_synthetic_0031</t>
  </si>
  <si>
    <t>130 Aurora Way</t>
  </si>
  <si>
    <t>A1030</t>
  </si>
  <si>
    <t>Logan Jade +999-444-2030</t>
  </si>
  <si>
    <t>AST-0032</t>
  </si>
  <si>
    <t>Flynn</t>
  </si>
  <si>
    <t>flynn.hart@example.invalid</t>
  </si>
  <si>
    <t>SYN-840031</t>
  </si>
  <si>
    <t>tok_synthetic_0032</t>
  </si>
  <si>
    <t>131 Civic Lane</t>
  </si>
  <si>
    <t>A1031</t>
  </si>
  <si>
    <t>Marlow Knoll +999-444-2031</t>
  </si>
  <si>
    <t>AST-0033</t>
  </si>
  <si>
    <t>Gale</t>
  </si>
  <si>
    <t>gale.isle@example.invalid</t>
  </si>
  <si>
    <t>SYN-840032</t>
  </si>
  <si>
    <t>tok_synthetic_0033</t>
  </si>
  <si>
    <t>132 Harbor Road</t>
  </si>
  <si>
    <t>A1032</t>
  </si>
  <si>
    <t>Nico Lake +999-444-2032</t>
  </si>
  <si>
    <t>AST-0034</t>
  </si>
  <si>
    <t>Haven</t>
  </si>
  <si>
    <t>haven.jade@example.invalid</t>
  </si>
  <si>
    <t>SYN-840033</t>
  </si>
  <si>
    <t>tok_synthetic_0034</t>
  </si>
  <si>
    <t>133 Juniper Street</t>
  </si>
  <si>
    <t>A1033</t>
  </si>
  <si>
    <t>Orion Moon +999-444-2033</t>
  </si>
  <si>
    <t>AST-0035</t>
  </si>
  <si>
    <t>Ira</t>
  </si>
  <si>
    <t>ira.knoll@example.invalid</t>
  </si>
  <si>
    <t>SYN-840034</t>
  </si>
  <si>
    <t>tok_synthetic_0035</t>
  </si>
  <si>
    <t>134 Market Avenue</t>
  </si>
  <si>
    <t>A1034</t>
  </si>
  <si>
    <t>Peyton North +999-444-2034</t>
  </si>
  <si>
    <t>AST-0036</t>
  </si>
  <si>
    <t>Jules</t>
  </si>
  <si>
    <t>jules.lake@example.invalid</t>
  </si>
  <si>
    <t>SYN-840035</t>
  </si>
  <si>
    <t>tok_synthetic_0036</t>
  </si>
  <si>
    <t>135 River Drive</t>
  </si>
  <si>
    <t>A1035</t>
  </si>
  <si>
    <t>River Oaks +999-444-2035</t>
  </si>
  <si>
    <t>AST-0037</t>
  </si>
  <si>
    <t>Kendall</t>
  </si>
  <si>
    <t>kendall.moon@example.invalid</t>
  </si>
  <si>
    <t>SYN-840036</t>
  </si>
  <si>
    <t>tok_synthetic_0037</t>
  </si>
  <si>
    <t>136 Aurora Way</t>
  </si>
  <si>
    <t>A1036</t>
  </si>
  <si>
    <t>Skyler Pine +999-444-2036</t>
  </si>
  <si>
    <t>AST-0038</t>
  </si>
  <si>
    <t>Logan</t>
  </si>
  <si>
    <t>logan.north@example.invalid</t>
  </si>
  <si>
    <t>SYN-840037</t>
  </si>
  <si>
    <t>tok_synthetic_0038</t>
  </si>
  <si>
    <t>137 Civic Lane</t>
  </si>
  <si>
    <t>A1037</t>
  </si>
  <si>
    <t>Tatum Quest +999-444-2037</t>
  </si>
  <si>
    <t>AST-0039</t>
  </si>
  <si>
    <t>Marlow</t>
  </si>
  <si>
    <t>marlow.oaks@example.invalid</t>
  </si>
  <si>
    <t>SYN-840038</t>
  </si>
  <si>
    <t>tok_synthetic_0039</t>
  </si>
  <si>
    <t>138 Harbor Road</t>
  </si>
  <si>
    <t>A1038</t>
  </si>
  <si>
    <t>Vesper Reed +999-444-2038</t>
  </si>
  <si>
    <t>AST-0040</t>
  </si>
  <si>
    <t>Nico</t>
  </si>
  <si>
    <t>nico.pine@example.invalid</t>
  </si>
  <si>
    <t>SYN-840039</t>
  </si>
  <si>
    <t>tok_synthetic_0040</t>
  </si>
  <si>
    <t>139 Juniper Street</t>
  </si>
  <si>
    <t>A1039</t>
  </si>
  <si>
    <t>Wren Stone +999-444-2039</t>
  </si>
  <si>
    <t>AST-0041</t>
  </si>
  <si>
    <t>Orion</t>
  </si>
  <si>
    <t>orion.quest@example.invalid</t>
  </si>
  <si>
    <t>SYN-840040</t>
  </si>
  <si>
    <t>tok_synthetic_0041</t>
  </si>
  <si>
    <t>140 Market Avenue</t>
  </si>
  <si>
    <t>A1040</t>
  </si>
  <si>
    <t>Zephyr Thorn +999-444-2040</t>
  </si>
  <si>
    <t>AST-0042</t>
  </si>
  <si>
    <t>Peyton</t>
  </si>
  <si>
    <t>peyton.reed@example.invalid</t>
  </si>
  <si>
    <t>SYN-840041</t>
  </si>
  <si>
    <t>tok_synthetic_0042</t>
  </si>
  <si>
    <t>141 River Drive</t>
  </si>
  <si>
    <t>A1041</t>
  </si>
  <si>
    <t>Avery Vale +999-444-2041</t>
  </si>
  <si>
    <t>AST-0043</t>
  </si>
  <si>
    <t>River</t>
  </si>
  <si>
    <t>river.stone@example.invalid</t>
  </si>
  <si>
    <t>SYN-840042</t>
  </si>
  <si>
    <t>tok_synthetic_0043</t>
  </si>
  <si>
    <t>142 Aurora Way</t>
  </si>
  <si>
    <t>A1042</t>
  </si>
  <si>
    <t>Blake West +999-444-2042</t>
  </si>
  <si>
    <t>AST-0044</t>
  </si>
  <si>
    <t>Skyler</t>
  </si>
  <si>
    <t>skyler.thorn@example.invalid</t>
  </si>
  <si>
    <t>SYN-840043</t>
  </si>
  <si>
    <t>tok_synthetic_0044</t>
  </si>
  <si>
    <t>143 Civic Lane</t>
  </si>
  <si>
    <t>A1043</t>
  </si>
  <si>
    <t>Cameron Young +999-444-2043</t>
  </si>
  <si>
    <t>AST-0045</t>
  </si>
  <si>
    <t>Tatum</t>
  </si>
  <si>
    <t>tatum.vale@example.invalid</t>
  </si>
  <si>
    <t>SYN-840044</t>
  </si>
  <si>
    <t>tok_synthetic_0045</t>
  </si>
  <si>
    <t>144 Harbor Road</t>
  </si>
  <si>
    <t>A1044</t>
  </si>
  <si>
    <t>Dakota Zen +999-444-2044</t>
  </si>
  <si>
    <t>AST-0046</t>
  </si>
  <si>
    <t>Vesper</t>
  </si>
  <si>
    <t>vesper.west@example.invalid</t>
  </si>
  <si>
    <t>SYN-840045</t>
  </si>
  <si>
    <t>tok_synthetic_0046</t>
  </si>
  <si>
    <t>145 Juniper Street</t>
  </si>
  <si>
    <t>A1045</t>
  </si>
  <si>
    <t>Emery Alder +999-444-2045</t>
  </si>
  <si>
    <t>AST-0047</t>
  </si>
  <si>
    <t>Wren</t>
  </si>
  <si>
    <t>wren.young@example.invalid</t>
  </si>
  <si>
    <t>SYN-840046</t>
  </si>
  <si>
    <t>tok_synthetic_0047</t>
  </si>
  <si>
    <t>146 Market Avenue</t>
  </si>
  <si>
    <t>A1046</t>
  </si>
  <si>
    <t>Finley Brook +999-444-2046</t>
  </si>
  <si>
    <t>AST-0048</t>
  </si>
  <si>
    <t>Zephyr</t>
  </si>
  <si>
    <t>zephyr.zen@example.invalid</t>
  </si>
  <si>
    <t>SYN-840047</t>
  </si>
  <si>
    <t>tok_synthetic_0048</t>
  </si>
  <si>
    <t>147 River Drive</t>
  </si>
  <si>
    <t>A1047</t>
  </si>
  <si>
    <t>Gray Cove +999-444-2047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</si>
</sst>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color rgb="FF18322E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23F37"/>
        <bgColor rgb="FF123F37"/>
      </patternFill>
    </fill>
  </fills>
  <borders count="7">
    <border/>
    <border>
      <right style="thin">
        <color rgb="FFA8C6BE"/>
      </right>
    </border>
    <border>
      <left style="thin">
        <color rgb="FFA8C6BE"/>
      </left>
      <right style="thin">
        <color rgb="FFA8C6BE"/>
      </right>
    </border>
    <border>
      <left style="thin">
        <color rgb="FFA8C6BE"/>
      </left>
    </border>
    <border>
      <bottom style="thin">
        <color rgb="FFE1EAE7"/>
      </bottom>
    </border>
    <border>
      <top style="thin">
        <color rgb="FFE1EAE7"/>
      </top>
      <bottom style="thin">
        <color rgb="FFE1EAE7"/>
      </bottom>
    </border>
    <border>
      <top style="thin">
        <color rgb="FFE1EAE7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readingOrder="0" vertical="bottom"/>
    </xf>
    <xf borderId="3" fillId="2" fontId="1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4" fillId="0" fontId="2" numFmtId="164" xfId="0" applyAlignment="1" applyBorder="1" applyFont="1" applyNumberFormat="1">
      <alignment readingOrder="0" shrinkToFit="0" wrapText="0"/>
    </xf>
    <xf borderId="5" fillId="0" fontId="2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5" fillId="0" fontId="2" numFmtId="164" xfId="0" applyAlignment="1" applyBorder="1" applyFont="1" applyNumberFormat="1">
      <alignment readingOrder="0" shrinkToFit="0" wrapText="0"/>
    </xf>
    <xf borderId="6" fillId="0" fontId="2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shrinkToFit="0" wrapText="0"/>
    </xf>
    <xf borderId="6" fillId="0" fontId="2" numFmtId="164" xfId="0" applyAlignment="1" applyBorder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5">
        <f>+999-555-1000</f>
        <v>-556</v>
      </c>
      <c r="F2" s="6">
        <v>29221.0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37</v>
      </c>
      <c r="O2" s="4" t="s">
        <v>40</v>
      </c>
      <c r="P2" s="4" t="s">
        <v>41</v>
      </c>
      <c r="Q2" s="4">
        <v>7.0</v>
      </c>
      <c r="R2" s="5"/>
      <c r="S2" s="4">
        <v>20.0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>
        <v>44927.0</v>
      </c>
      <c r="AA2" s="4" t="s">
        <v>48</v>
      </c>
      <c r="AB2" s="4" t="s">
        <v>49</v>
      </c>
      <c r="AC2" s="4" t="s">
        <v>50</v>
      </c>
    </row>
    <row r="3">
      <c r="A3" s="7" t="s">
        <v>51</v>
      </c>
      <c r="B3" s="7" t="s">
        <v>52</v>
      </c>
      <c r="C3" s="7" t="s">
        <v>53</v>
      </c>
      <c r="D3" s="7" t="s">
        <v>54</v>
      </c>
      <c r="E3" s="8">
        <f>+999-555-1001</f>
        <v>-557</v>
      </c>
      <c r="F3" s="9">
        <v>29619.0</v>
      </c>
      <c r="G3" s="7" t="s">
        <v>55</v>
      </c>
      <c r="H3" s="7" t="s">
        <v>56</v>
      </c>
      <c r="I3" s="7" t="s">
        <v>57</v>
      </c>
      <c r="J3" s="7" t="s">
        <v>58</v>
      </c>
      <c r="K3" s="7" t="s">
        <v>37</v>
      </c>
      <c r="L3" s="7" t="s">
        <v>59</v>
      </c>
      <c r="M3" s="7" t="s">
        <v>39</v>
      </c>
      <c r="N3" s="7" t="s">
        <v>37</v>
      </c>
      <c r="O3" s="7" t="s">
        <v>60</v>
      </c>
      <c r="P3" s="7" t="s">
        <v>41</v>
      </c>
      <c r="Q3" s="7">
        <v>7.43</v>
      </c>
      <c r="R3" s="8"/>
      <c r="S3" s="7">
        <v>32.0</v>
      </c>
      <c r="T3" s="7" t="s">
        <v>42</v>
      </c>
      <c r="U3" s="7" t="s">
        <v>43</v>
      </c>
      <c r="V3" s="7" t="s">
        <v>44</v>
      </c>
      <c r="W3" s="7" t="s">
        <v>61</v>
      </c>
      <c r="X3" s="7" t="s">
        <v>62</v>
      </c>
      <c r="Y3" s="7" t="s">
        <v>63</v>
      </c>
      <c r="Z3" s="7">
        <v>45324.0</v>
      </c>
      <c r="AA3" s="7" t="s">
        <v>64</v>
      </c>
      <c r="AB3" s="7" t="s">
        <v>65</v>
      </c>
      <c r="AC3" s="7" t="s">
        <v>66</v>
      </c>
    </row>
    <row r="4">
      <c r="A4" s="7" t="s">
        <v>67</v>
      </c>
      <c r="B4" s="7" t="s">
        <v>68</v>
      </c>
      <c r="C4" s="7" t="s">
        <v>69</v>
      </c>
      <c r="D4" s="7" t="s">
        <v>70</v>
      </c>
      <c r="E4" s="8">
        <f>+999-555-1002</f>
        <v>-558</v>
      </c>
      <c r="F4" s="9">
        <v>30013.0</v>
      </c>
      <c r="G4" s="7" t="s">
        <v>71</v>
      </c>
      <c r="H4" s="7" t="s">
        <v>72</v>
      </c>
      <c r="I4" s="7" t="s">
        <v>73</v>
      </c>
      <c r="J4" s="7" t="s">
        <v>74</v>
      </c>
      <c r="K4" s="7" t="s">
        <v>37</v>
      </c>
      <c r="L4" s="7" t="s">
        <v>75</v>
      </c>
      <c r="M4" s="7" t="s">
        <v>39</v>
      </c>
      <c r="N4" s="7" t="s">
        <v>37</v>
      </c>
      <c r="O4" s="7" t="s">
        <v>76</v>
      </c>
      <c r="P4" s="7" t="s">
        <v>77</v>
      </c>
      <c r="Q4" s="8"/>
      <c r="R4" s="7">
        <v>14906.0</v>
      </c>
      <c r="S4" s="7">
        <v>35.0</v>
      </c>
      <c r="T4" s="7" t="s">
        <v>42</v>
      </c>
      <c r="U4" s="7" t="s">
        <v>43</v>
      </c>
      <c r="V4" s="7" t="s">
        <v>44</v>
      </c>
      <c r="W4" s="7" t="s">
        <v>78</v>
      </c>
      <c r="X4" s="7" t="s">
        <v>79</v>
      </c>
      <c r="Y4" s="7" t="s">
        <v>80</v>
      </c>
      <c r="Z4" s="7">
        <v>45719.0</v>
      </c>
      <c r="AA4" s="7" t="s">
        <v>81</v>
      </c>
      <c r="AB4" s="7" t="s">
        <v>82</v>
      </c>
      <c r="AC4" s="7" t="s">
        <v>83</v>
      </c>
    </row>
    <row r="5">
      <c r="A5" s="7" t="s">
        <v>84</v>
      </c>
      <c r="B5" s="7" t="s">
        <v>85</v>
      </c>
      <c r="C5" s="7" t="s">
        <v>86</v>
      </c>
      <c r="D5" s="7" t="s">
        <v>87</v>
      </c>
      <c r="E5" s="8">
        <f>+999-555-1003</f>
        <v>-559</v>
      </c>
      <c r="F5" s="9">
        <v>30410.0</v>
      </c>
      <c r="G5" s="7" t="s">
        <v>88</v>
      </c>
      <c r="H5" s="7" t="s">
        <v>89</v>
      </c>
      <c r="I5" s="7" t="s">
        <v>90</v>
      </c>
      <c r="J5" s="7" t="s">
        <v>36</v>
      </c>
      <c r="K5" s="7" t="s">
        <v>37</v>
      </c>
      <c r="L5" s="7" t="s">
        <v>91</v>
      </c>
      <c r="M5" s="7" t="s">
        <v>39</v>
      </c>
      <c r="N5" s="7" t="s">
        <v>37</v>
      </c>
      <c r="O5" s="7" t="s">
        <v>40</v>
      </c>
      <c r="P5" s="7" t="s">
        <v>41</v>
      </c>
      <c r="Q5" s="7">
        <v>8.29</v>
      </c>
      <c r="R5" s="8"/>
      <c r="S5" s="7">
        <v>37.5</v>
      </c>
      <c r="T5" s="7" t="s">
        <v>42</v>
      </c>
      <c r="U5" s="7" t="s">
        <v>43</v>
      </c>
      <c r="V5" s="7" t="s">
        <v>44</v>
      </c>
      <c r="W5" s="7" t="s">
        <v>92</v>
      </c>
      <c r="X5" s="7" t="s">
        <v>93</v>
      </c>
      <c r="Y5" s="7" t="s">
        <v>94</v>
      </c>
      <c r="Z5" s="7">
        <v>46116.0</v>
      </c>
      <c r="AA5" s="7" t="s">
        <v>82</v>
      </c>
      <c r="AB5" s="7" t="s">
        <v>49</v>
      </c>
      <c r="AC5" s="7" t="s">
        <v>95</v>
      </c>
    </row>
    <row r="6">
      <c r="A6" s="7" t="s">
        <v>96</v>
      </c>
      <c r="B6" s="7" t="s">
        <v>97</v>
      </c>
      <c r="C6" s="7" t="s">
        <v>98</v>
      </c>
      <c r="D6" s="7" t="s">
        <v>99</v>
      </c>
      <c r="E6" s="8">
        <f>+999-555-1004</f>
        <v>-560</v>
      </c>
      <c r="F6" s="9">
        <v>30807.0</v>
      </c>
      <c r="G6" s="7" t="s">
        <v>100</v>
      </c>
      <c r="H6" s="7" t="s">
        <v>101</v>
      </c>
      <c r="I6" s="7" t="s">
        <v>102</v>
      </c>
      <c r="J6" s="7" t="s">
        <v>58</v>
      </c>
      <c r="K6" s="7" t="s">
        <v>37</v>
      </c>
      <c r="L6" s="7" t="s">
        <v>103</v>
      </c>
      <c r="M6" s="7" t="s">
        <v>39</v>
      </c>
      <c r="N6" s="7" t="s">
        <v>37</v>
      </c>
      <c r="O6" s="7" t="s">
        <v>60</v>
      </c>
      <c r="P6" s="7" t="s">
        <v>41</v>
      </c>
      <c r="Q6" s="7">
        <v>8.72</v>
      </c>
      <c r="R6" s="8"/>
      <c r="S6" s="7">
        <v>40.0</v>
      </c>
      <c r="T6" s="7" t="s">
        <v>42</v>
      </c>
      <c r="U6" s="7" t="s">
        <v>43</v>
      </c>
      <c r="V6" s="7" t="s">
        <v>44</v>
      </c>
      <c r="W6" s="7" t="s">
        <v>104</v>
      </c>
      <c r="X6" s="7" t="s">
        <v>105</v>
      </c>
      <c r="Y6" s="7" t="s">
        <v>47</v>
      </c>
      <c r="Z6" s="7">
        <v>45051.0</v>
      </c>
      <c r="AA6" s="7" t="s">
        <v>48</v>
      </c>
      <c r="AB6" s="7" t="s">
        <v>65</v>
      </c>
      <c r="AC6" s="7" t="s">
        <v>106</v>
      </c>
    </row>
    <row r="7">
      <c r="A7" s="7" t="s">
        <v>107</v>
      </c>
      <c r="B7" s="7" t="s">
        <v>108</v>
      </c>
      <c r="C7" s="7" t="s">
        <v>109</v>
      </c>
      <c r="D7" s="7" t="s">
        <v>110</v>
      </c>
      <c r="E7" s="8">
        <f>+999-555-1005</f>
        <v>-561</v>
      </c>
      <c r="F7" s="9">
        <v>31204.0</v>
      </c>
      <c r="G7" s="7" t="s">
        <v>111</v>
      </c>
      <c r="H7" s="7" t="s">
        <v>112</v>
      </c>
      <c r="I7" s="7" t="s">
        <v>113</v>
      </c>
      <c r="J7" s="7" t="s">
        <v>74</v>
      </c>
      <c r="K7" s="7" t="s">
        <v>37</v>
      </c>
      <c r="L7" s="7" t="s">
        <v>114</v>
      </c>
      <c r="M7" s="7" t="s">
        <v>39</v>
      </c>
      <c r="N7" s="7" t="s">
        <v>37</v>
      </c>
      <c r="O7" s="7" t="s">
        <v>76</v>
      </c>
      <c r="P7" s="7" t="s">
        <v>77</v>
      </c>
      <c r="Q7" s="8"/>
      <c r="R7" s="7">
        <v>9984.0</v>
      </c>
      <c r="S7" s="7">
        <v>20.0</v>
      </c>
      <c r="T7" s="7" t="s">
        <v>42</v>
      </c>
      <c r="U7" s="7" t="s">
        <v>43</v>
      </c>
      <c r="V7" s="7" t="s">
        <v>44</v>
      </c>
      <c r="W7" s="7" t="s">
        <v>115</v>
      </c>
      <c r="X7" s="7" t="s">
        <v>116</v>
      </c>
      <c r="Y7" s="7" t="s">
        <v>63</v>
      </c>
      <c r="Z7" s="7">
        <v>45449.0</v>
      </c>
      <c r="AA7" s="7" t="s">
        <v>64</v>
      </c>
      <c r="AB7" s="7" t="s">
        <v>82</v>
      </c>
      <c r="AC7" s="7" t="s">
        <v>117</v>
      </c>
    </row>
    <row r="8">
      <c r="A8" s="7" t="s">
        <v>118</v>
      </c>
      <c r="B8" s="7" t="s">
        <v>119</v>
      </c>
      <c r="C8" s="7" t="s">
        <v>120</v>
      </c>
      <c r="D8" s="7" t="s">
        <v>121</v>
      </c>
      <c r="E8" s="8">
        <f>+999-555-1006</f>
        <v>-562</v>
      </c>
      <c r="F8" s="9">
        <v>31600.0</v>
      </c>
      <c r="G8" s="7" t="s">
        <v>122</v>
      </c>
      <c r="H8" s="7" t="s">
        <v>123</v>
      </c>
      <c r="I8" s="7" t="s">
        <v>124</v>
      </c>
      <c r="J8" s="7" t="s">
        <v>36</v>
      </c>
      <c r="K8" s="7" t="s">
        <v>37</v>
      </c>
      <c r="L8" s="7" t="s">
        <v>125</v>
      </c>
      <c r="M8" s="7" t="s">
        <v>39</v>
      </c>
      <c r="N8" s="7" t="s">
        <v>37</v>
      </c>
      <c r="O8" s="7" t="s">
        <v>40</v>
      </c>
      <c r="P8" s="7" t="s">
        <v>41</v>
      </c>
      <c r="Q8" s="7">
        <v>9.58</v>
      </c>
      <c r="R8" s="8"/>
      <c r="S8" s="7">
        <v>32.0</v>
      </c>
      <c r="T8" s="7" t="s">
        <v>42</v>
      </c>
      <c r="U8" s="7" t="s">
        <v>43</v>
      </c>
      <c r="V8" s="7" t="s">
        <v>44</v>
      </c>
      <c r="W8" s="7" t="s">
        <v>45</v>
      </c>
      <c r="X8" s="7" t="s">
        <v>46</v>
      </c>
      <c r="Y8" s="7" t="s">
        <v>80</v>
      </c>
      <c r="Z8" s="7">
        <v>45845.0</v>
      </c>
      <c r="AA8" s="7" t="s">
        <v>81</v>
      </c>
      <c r="AB8" s="7" t="s">
        <v>49</v>
      </c>
      <c r="AC8" s="7" t="s">
        <v>126</v>
      </c>
    </row>
    <row r="9">
      <c r="A9" s="7" t="s">
        <v>127</v>
      </c>
      <c r="B9" s="7" t="s">
        <v>128</v>
      </c>
      <c r="C9" s="7" t="s">
        <v>129</v>
      </c>
      <c r="D9" s="7" t="s">
        <v>130</v>
      </c>
      <c r="E9" s="8">
        <f>+999-555-1007</f>
        <v>-563</v>
      </c>
      <c r="F9" s="9">
        <v>31997.0</v>
      </c>
      <c r="G9" s="7" t="s">
        <v>131</v>
      </c>
      <c r="H9" s="7" t="s">
        <v>132</v>
      </c>
      <c r="I9" s="7" t="s">
        <v>133</v>
      </c>
      <c r="J9" s="7" t="s">
        <v>58</v>
      </c>
      <c r="K9" s="7" t="s">
        <v>37</v>
      </c>
      <c r="L9" s="7" t="s">
        <v>134</v>
      </c>
      <c r="M9" s="7" t="s">
        <v>39</v>
      </c>
      <c r="N9" s="7" t="s">
        <v>37</v>
      </c>
      <c r="O9" s="7" t="s">
        <v>60</v>
      </c>
      <c r="P9" s="7" t="s">
        <v>41</v>
      </c>
      <c r="Q9" s="7">
        <v>10.01</v>
      </c>
      <c r="R9" s="8"/>
      <c r="S9" s="7">
        <v>35.0</v>
      </c>
      <c r="T9" s="7" t="s">
        <v>42</v>
      </c>
      <c r="U9" s="7" t="s">
        <v>43</v>
      </c>
      <c r="V9" s="7" t="s">
        <v>44</v>
      </c>
      <c r="W9" s="7" t="s">
        <v>61</v>
      </c>
      <c r="X9" s="7" t="s">
        <v>62</v>
      </c>
      <c r="Y9" s="7" t="s">
        <v>94</v>
      </c>
      <c r="Z9" s="7">
        <v>46242.0</v>
      </c>
      <c r="AA9" s="7" t="s">
        <v>82</v>
      </c>
      <c r="AB9" s="7" t="s">
        <v>65</v>
      </c>
      <c r="AC9" s="7" t="s">
        <v>135</v>
      </c>
    </row>
    <row r="10">
      <c r="A10" s="7" t="s">
        <v>136</v>
      </c>
      <c r="B10" s="7" t="s">
        <v>137</v>
      </c>
      <c r="C10" s="7" t="s">
        <v>138</v>
      </c>
      <c r="D10" s="7" t="s">
        <v>139</v>
      </c>
      <c r="E10" s="8">
        <f>+999-555-1008</f>
        <v>-564</v>
      </c>
      <c r="F10" s="9">
        <v>32395.0</v>
      </c>
      <c r="G10" s="7" t="s">
        <v>140</v>
      </c>
      <c r="H10" s="7" t="s">
        <v>141</v>
      </c>
      <c r="I10" s="7" t="s">
        <v>142</v>
      </c>
      <c r="J10" s="7" t="s">
        <v>74</v>
      </c>
      <c r="K10" s="7" t="s">
        <v>37</v>
      </c>
      <c r="L10" s="7" t="s">
        <v>143</v>
      </c>
      <c r="M10" s="7" t="s">
        <v>39</v>
      </c>
      <c r="N10" s="7" t="s">
        <v>37</v>
      </c>
      <c r="O10" s="7" t="s">
        <v>76</v>
      </c>
      <c r="P10" s="7" t="s">
        <v>77</v>
      </c>
      <c r="Q10" s="8"/>
      <c r="R10" s="7">
        <v>21470.0</v>
      </c>
      <c r="S10" s="7">
        <v>37.5</v>
      </c>
      <c r="T10" s="7" t="s">
        <v>42</v>
      </c>
      <c r="U10" s="7" t="s">
        <v>43</v>
      </c>
      <c r="V10" s="7" t="s">
        <v>44</v>
      </c>
      <c r="W10" s="7" t="s">
        <v>78</v>
      </c>
      <c r="X10" s="7" t="s">
        <v>79</v>
      </c>
      <c r="Y10" s="7" t="s">
        <v>47</v>
      </c>
      <c r="Z10" s="7">
        <v>45178.0</v>
      </c>
      <c r="AA10" s="7" t="s">
        <v>48</v>
      </c>
      <c r="AB10" s="7" t="s">
        <v>82</v>
      </c>
      <c r="AC10" s="7" t="s">
        <v>144</v>
      </c>
    </row>
    <row r="11">
      <c r="A11" s="7" t="s">
        <v>145</v>
      </c>
      <c r="B11" s="7" t="s">
        <v>146</v>
      </c>
      <c r="C11" s="7" t="s">
        <v>147</v>
      </c>
      <c r="D11" s="7" t="s">
        <v>148</v>
      </c>
      <c r="E11" s="8">
        <f>+999-555-1009</f>
        <v>-565</v>
      </c>
      <c r="F11" s="9">
        <v>32791.0</v>
      </c>
      <c r="G11" s="7" t="s">
        <v>149</v>
      </c>
      <c r="H11" s="7" t="s">
        <v>150</v>
      </c>
      <c r="I11" s="7" t="s">
        <v>151</v>
      </c>
      <c r="J11" s="7" t="s">
        <v>36</v>
      </c>
      <c r="K11" s="7" t="s">
        <v>37</v>
      </c>
      <c r="L11" s="7" t="s">
        <v>152</v>
      </c>
      <c r="M11" s="7" t="s">
        <v>39</v>
      </c>
      <c r="N11" s="7" t="s">
        <v>37</v>
      </c>
      <c r="O11" s="7" t="s">
        <v>40</v>
      </c>
      <c r="P11" s="7" t="s">
        <v>41</v>
      </c>
      <c r="Q11" s="7">
        <v>10.87</v>
      </c>
      <c r="R11" s="8"/>
      <c r="S11" s="7">
        <v>40.0</v>
      </c>
      <c r="T11" s="7" t="s">
        <v>42</v>
      </c>
      <c r="U11" s="7" t="s">
        <v>43</v>
      </c>
      <c r="V11" s="7" t="s">
        <v>44</v>
      </c>
      <c r="W11" s="7" t="s">
        <v>92</v>
      </c>
      <c r="X11" s="7" t="s">
        <v>93</v>
      </c>
      <c r="Y11" s="7" t="s">
        <v>63</v>
      </c>
      <c r="Z11" s="7">
        <v>45575.0</v>
      </c>
      <c r="AA11" s="7" t="s">
        <v>64</v>
      </c>
      <c r="AB11" s="7" t="s">
        <v>49</v>
      </c>
      <c r="AC11" s="7" t="s">
        <v>153</v>
      </c>
    </row>
    <row r="12">
      <c r="A12" s="7" t="s">
        <v>154</v>
      </c>
      <c r="B12" s="7" t="s">
        <v>155</v>
      </c>
      <c r="C12" s="7" t="s">
        <v>156</v>
      </c>
      <c r="D12" s="7" t="s">
        <v>157</v>
      </c>
      <c r="E12" s="8">
        <f>+999-555-1010</f>
        <v>-566</v>
      </c>
      <c r="F12" s="9">
        <v>33188.0</v>
      </c>
      <c r="G12" s="7" t="s">
        <v>158</v>
      </c>
      <c r="H12" s="7" t="s">
        <v>159</v>
      </c>
      <c r="I12" s="7" t="s">
        <v>160</v>
      </c>
      <c r="J12" s="7" t="s">
        <v>58</v>
      </c>
      <c r="K12" s="7" t="s">
        <v>37</v>
      </c>
      <c r="L12" s="7" t="s">
        <v>161</v>
      </c>
      <c r="M12" s="7" t="s">
        <v>39</v>
      </c>
      <c r="N12" s="7" t="s">
        <v>37</v>
      </c>
      <c r="O12" s="7" t="s">
        <v>60</v>
      </c>
      <c r="P12" s="7" t="s">
        <v>41</v>
      </c>
      <c r="Q12" s="7">
        <v>11.3</v>
      </c>
      <c r="R12" s="8"/>
      <c r="S12" s="7">
        <v>20.0</v>
      </c>
      <c r="T12" s="7" t="s">
        <v>42</v>
      </c>
      <c r="U12" s="7" t="s">
        <v>43</v>
      </c>
      <c r="V12" s="7" t="s">
        <v>44</v>
      </c>
      <c r="W12" s="7" t="s">
        <v>104</v>
      </c>
      <c r="X12" s="7" t="s">
        <v>105</v>
      </c>
      <c r="Y12" s="7" t="s">
        <v>80</v>
      </c>
      <c r="Z12" s="7">
        <v>45972.0</v>
      </c>
      <c r="AA12" s="7" t="s">
        <v>81</v>
      </c>
      <c r="AB12" s="7" t="s">
        <v>65</v>
      </c>
      <c r="AC12" s="7" t="s">
        <v>162</v>
      </c>
    </row>
    <row r="13">
      <c r="A13" s="7" t="s">
        <v>163</v>
      </c>
      <c r="B13" s="7" t="s">
        <v>164</v>
      </c>
      <c r="C13" s="7" t="s">
        <v>165</v>
      </c>
      <c r="D13" s="7" t="s">
        <v>166</v>
      </c>
      <c r="E13" s="8">
        <f>+999-555-1011</f>
        <v>-567</v>
      </c>
      <c r="F13" s="9">
        <v>33584.0</v>
      </c>
      <c r="G13" s="7" t="s">
        <v>167</v>
      </c>
      <c r="H13" s="7" t="s">
        <v>168</v>
      </c>
      <c r="I13" s="7" t="s">
        <v>169</v>
      </c>
      <c r="J13" s="7" t="s">
        <v>74</v>
      </c>
      <c r="K13" s="7" t="s">
        <v>37</v>
      </c>
      <c r="L13" s="7" t="s">
        <v>170</v>
      </c>
      <c r="M13" s="7" t="s">
        <v>39</v>
      </c>
      <c r="N13" s="7" t="s">
        <v>37</v>
      </c>
      <c r="O13" s="7" t="s">
        <v>76</v>
      </c>
      <c r="P13" s="7" t="s">
        <v>77</v>
      </c>
      <c r="Q13" s="8"/>
      <c r="R13" s="7">
        <v>20667.0</v>
      </c>
      <c r="S13" s="7">
        <v>32.0</v>
      </c>
      <c r="T13" s="7" t="s">
        <v>42</v>
      </c>
      <c r="U13" s="7" t="s">
        <v>43</v>
      </c>
      <c r="V13" s="7" t="s">
        <v>44</v>
      </c>
      <c r="W13" s="7" t="s">
        <v>115</v>
      </c>
      <c r="X13" s="7" t="s">
        <v>116</v>
      </c>
      <c r="Y13" s="7" t="s">
        <v>94</v>
      </c>
      <c r="Z13" s="7">
        <v>46368.0</v>
      </c>
      <c r="AA13" s="7" t="s">
        <v>82</v>
      </c>
      <c r="AB13" s="7" t="s">
        <v>82</v>
      </c>
      <c r="AC13" s="7" t="s">
        <v>171</v>
      </c>
    </row>
    <row r="14">
      <c r="A14" s="7" t="s">
        <v>172</v>
      </c>
      <c r="B14" s="7" t="s">
        <v>173</v>
      </c>
      <c r="C14" s="7" t="s">
        <v>174</v>
      </c>
      <c r="D14" s="7" t="s">
        <v>175</v>
      </c>
      <c r="E14" s="8">
        <f>+999-555-1012</f>
        <v>-568</v>
      </c>
      <c r="F14" s="9">
        <v>33616.0</v>
      </c>
      <c r="G14" s="7" t="s">
        <v>176</v>
      </c>
      <c r="H14" s="7" t="s">
        <v>177</v>
      </c>
      <c r="I14" s="7" t="s">
        <v>178</v>
      </c>
      <c r="J14" s="7" t="s">
        <v>36</v>
      </c>
      <c r="K14" s="7" t="s">
        <v>37</v>
      </c>
      <c r="L14" s="7" t="s">
        <v>179</v>
      </c>
      <c r="M14" s="7" t="s">
        <v>39</v>
      </c>
      <c r="N14" s="7" t="s">
        <v>37</v>
      </c>
      <c r="O14" s="7" t="s">
        <v>40</v>
      </c>
      <c r="P14" s="7" t="s">
        <v>41</v>
      </c>
      <c r="Q14" s="7">
        <v>12.16</v>
      </c>
      <c r="R14" s="8"/>
      <c r="S14" s="7">
        <v>35.0</v>
      </c>
      <c r="T14" s="7" t="s">
        <v>42</v>
      </c>
      <c r="U14" s="7" t="s">
        <v>43</v>
      </c>
      <c r="V14" s="7" t="s">
        <v>44</v>
      </c>
      <c r="W14" s="7" t="s">
        <v>45</v>
      </c>
      <c r="X14" s="7" t="s">
        <v>46</v>
      </c>
      <c r="Y14" s="7" t="s">
        <v>47</v>
      </c>
      <c r="Z14" s="7">
        <v>44939.0</v>
      </c>
      <c r="AA14" s="7" t="s">
        <v>48</v>
      </c>
      <c r="AB14" s="7" t="s">
        <v>49</v>
      </c>
      <c r="AC14" s="7" t="s">
        <v>180</v>
      </c>
    </row>
    <row r="15">
      <c r="A15" s="7" t="s">
        <v>181</v>
      </c>
      <c r="B15" s="7" t="s">
        <v>182</v>
      </c>
      <c r="C15" s="7" t="s">
        <v>183</v>
      </c>
      <c r="D15" s="7" t="s">
        <v>184</v>
      </c>
      <c r="E15" s="8">
        <f>+999-555-1013</f>
        <v>-569</v>
      </c>
      <c r="F15" s="9">
        <v>34014.0</v>
      </c>
      <c r="G15" s="7" t="s">
        <v>185</v>
      </c>
      <c r="H15" s="7" t="s">
        <v>186</v>
      </c>
      <c r="I15" s="7" t="s">
        <v>187</v>
      </c>
      <c r="J15" s="7" t="s">
        <v>58</v>
      </c>
      <c r="K15" s="7" t="s">
        <v>37</v>
      </c>
      <c r="L15" s="7" t="s">
        <v>188</v>
      </c>
      <c r="M15" s="7" t="s">
        <v>39</v>
      </c>
      <c r="N15" s="7" t="s">
        <v>37</v>
      </c>
      <c r="O15" s="7" t="s">
        <v>60</v>
      </c>
      <c r="P15" s="7" t="s">
        <v>41</v>
      </c>
      <c r="Q15" s="7">
        <v>12.59</v>
      </c>
      <c r="R15" s="8"/>
      <c r="S15" s="7">
        <v>37.5</v>
      </c>
      <c r="T15" s="7" t="s">
        <v>42</v>
      </c>
      <c r="U15" s="7" t="s">
        <v>43</v>
      </c>
      <c r="V15" s="7" t="s">
        <v>44</v>
      </c>
      <c r="W15" s="7" t="s">
        <v>61</v>
      </c>
      <c r="X15" s="7" t="s">
        <v>62</v>
      </c>
      <c r="Y15" s="7" t="s">
        <v>63</v>
      </c>
      <c r="Z15" s="7">
        <v>45336.0</v>
      </c>
      <c r="AA15" s="7" t="s">
        <v>64</v>
      </c>
      <c r="AB15" s="7" t="s">
        <v>65</v>
      </c>
      <c r="AC15" s="7" t="s">
        <v>189</v>
      </c>
    </row>
    <row r="16">
      <c r="A16" s="7" t="s">
        <v>190</v>
      </c>
      <c r="B16" s="7" t="s">
        <v>191</v>
      </c>
      <c r="C16" s="7" t="s">
        <v>192</v>
      </c>
      <c r="D16" s="7" t="s">
        <v>193</v>
      </c>
      <c r="E16" s="8">
        <f>+999-555-1014</f>
        <v>-570</v>
      </c>
      <c r="F16" s="9">
        <v>34408.0</v>
      </c>
      <c r="G16" s="7" t="s">
        <v>194</v>
      </c>
      <c r="H16" s="7" t="s">
        <v>195</v>
      </c>
      <c r="I16" s="7" t="s">
        <v>196</v>
      </c>
      <c r="J16" s="7" t="s">
        <v>74</v>
      </c>
      <c r="K16" s="7" t="s">
        <v>37</v>
      </c>
      <c r="L16" s="7" t="s">
        <v>197</v>
      </c>
      <c r="M16" s="7" t="s">
        <v>39</v>
      </c>
      <c r="N16" s="7" t="s">
        <v>37</v>
      </c>
      <c r="O16" s="7" t="s">
        <v>76</v>
      </c>
      <c r="P16" s="7" t="s">
        <v>77</v>
      </c>
      <c r="Q16" s="8"/>
      <c r="R16" s="7">
        <v>28766.0</v>
      </c>
      <c r="S16" s="7">
        <v>40.0</v>
      </c>
      <c r="T16" s="7" t="s">
        <v>42</v>
      </c>
      <c r="U16" s="7" t="s">
        <v>43</v>
      </c>
      <c r="V16" s="7" t="s">
        <v>44</v>
      </c>
      <c r="W16" s="7" t="s">
        <v>78</v>
      </c>
      <c r="X16" s="7" t="s">
        <v>79</v>
      </c>
      <c r="Y16" s="7" t="s">
        <v>80</v>
      </c>
      <c r="Z16" s="7">
        <v>45731.0</v>
      </c>
      <c r="AA16" s="7" t="s">
        <v>81</v>
      </c>
      <c r="AB16" s="7" t="s">
        <v>82</v>
      </c>
      <c r="AC16" s="7" t="s">
        <v>198</v>
      </c>
    </row>
    <row r="17">
      <c r="A17" s="7" t="s">
        <v>199</v>
      </c>
      <c r="B17" s="7" t="s">
        <v>200</v>
      </c>
      <c r="C17" s="7" t="s">
        <v>201</v>
      </c>
      <c r="D17" s="7" t="s">
        <v>202</v>
      </c>
      <c r="E17" s="8">
        <f>+999-555-1015</f>
        <v>-571</v>
      </c>
      <c r="F17" s="9">
        <v>34805.0</v>
      </c>
      <c r="G17" s="7" t="s">
        <v>203</v>
      </c>
      <c r="H17" s="7" t="s">
        <v>204</v>
      </c>
      <c r="I17" s="7" t="s">
        <v>205</v>
      </c>
      <c r="J17" s="7" t="s">
        <v>36</v>
      </c>
      <c r="K17" s="7" t="s">
        <v>37</v>
      </c>
      <c r="L17" s="7" t="s">
        <v>206</v>
      </c>
      <c r="M17" s="7" t="s">
        <v>39</v>
      </c>
      <c r="N17" s="7" t="s">
        <v>37</v>
      </c>
      <c r="O17" s="7" t="s">
        <v>40</v>
      </c>
      <c r="P17" s="7" t="s">
        <v>41</v>
      </c>
      <c r="Q17" s="7">
        <v>13.45</v>
      </c>
      <c r="R17" s="8"/>
      <c r="S17" s="7">
        <v>20.0</v>
      </c>
      <c r="T17" s="7" t="s">
        <v>42</v>
      </c>
      <c r="U17" s="7" t="s">
        <v>43</v>
      </c>
      <c r="V17" s="7" t="s">
        <v>44</v>
      </c>
      <c r="W17" s="7" t="s">
        <v>92</v>
      </c>
      <c r="X17" s="7" t="s">
        <v>93</v>
      </c>
      <c r="Y17" s="7" t="s">
        <v>94</v>
      </c>
      <c r="Z17" s="7">
        <v>46128.0</v>
      </c>
      <c r="AA17" s="7" t="s">
        <v>82</v>
      </c>
      <c r="AB17" s="7" t="s">
        <v>49</v>
      </c>
      <c r="AC17" s="7" t="s">
        <v>207</v>
      </c>
    </row>
    <row r="18">
      <c r="A18" s="7" t="s">
        <v>208</v>
      </c>
      <c r="B18" s="7" t="s">
        <v>209</v>
      </c>
      <c r="C18" s="7" t="s">
        <v>210</v>
      </c>
      <c r="D18" s="7" t="s">
        <v>211</v>
      </c>
      <c r="E18" s="8">
        <f>+999-555-1016</f>
        <v>-572</v>
      </c>
      <c r="F18" s="9">
        <v>35202.0</v>
      </c>
      <c r="G18" s="7" t="s">
        <v>212</v>
      </c>
      <c r="H18" s="7" t="s">
        <v>213</v>
      </c>
      <c r="I18" s="7" t="s">
        <v>214</v>
      </c>
      <c r="J18" s="7" t="s">
        <v>58</v>
      </c>
      <c r="K18" s="7" t="s">
        <v>37</v>
      </c>
      <c r="L18" s="7" t="s">
        <v>215</v>
      </c>
      <c r="M18" s="7" t="s">
        <v>39</v>
      </c>
      <c r="N18" s="7" t="s">
        <v>37</v>
      </c>
      <c r="O18" s="7" t="s">
        <v>60</v>
      </c>
      <c r="P18" s="7" t="s">
        <v>41</v>
      </c>
      <c r="Q18" s="7">
        <v>13.88</v>
      </c>
      <c r="R18" s="8"/>
      <c r="S18" s="7">
        <v>32.0</v>
      </c>
      <c r="T18" s="7" t="s">
        <v>42</v>
      </c>
      <c r="U18" s="7" t="s">
        <v>43</v>
      </c>
      <c r="V18" s="7" t="s">
        <v>44</v>
      </c>
      <c r="W18" s="7" t="s">
        <v>104</v>
      </c>
      <c r="X18" s="7" t="s">
        <v>105</v>
      </c>
      <c r="Y18" s="7" t="s">
        <v>47</v>
      </c>
      <c r="Z18" s="7">
        <v>45063.0</v>
      </c>
      <c r="AA18" s="7" t="s">
        <v>48</v>
      </c>
      <c r="AB18" s="7" t="s">
        <v>65</v>
      </c>
      <c r="AC18" s="7" t="s">
        <v>216</v>
      </c>
    </row>
    <row r="19">
      <c r="A19" s="7" t="s">
        <v>217</v>
      </c>
      <c r="B19" s="7" t="s">
        <v>218</v>
      </c>
      <c r="C19" s="7" t="s">
        <v>219</v>
      </c>
      <c r="D19" s="7" t="s">
        <v>220</v>
      </c>
      <c r="E19" s="8">
        <f>+999-555-1017</f>
        <v>-573</v>
      </c>
      <c r="F19" s="9">
        <v>35599.0</v>
      </c>
      <c r="G19" s="7" t="s">
        <v>221</v>
      </c>
      <c r="H19" s="7" t="s">
        <v>222</v>
      </c>
      <c r="I19" s="7" t="s">
        <v>223</v>
      </c>
      <c r="J19" s="7" t="s">
        <v>74</v>
      </c>
      <c r="K19" s="7" t="s">
        <v>37</v>
      </c>
      <c r="L19" s="7" t="s">
        <v>224</v>
      </c>
      <c r="M19" s="7" t="s">
        <v>39</v>
      </c>
      <c r="N19" s="7" t="s">
        <v>37</v>
      </c>
      <c r="O19" s="7" t="s">
        <v>76</v>
      </c>
      <c r="P19" s="7" t="s">
        <v>77</v>
      </c>
      <c r="Q19" s="8"/>
      <c r="R19" s="7">
        <v>27737.0</v>
      </c>
      <c r="S19" s="7">
        <v>35.0</v>
      </c>
      <c r="T19" s="7" t="s">
        <v>42</v>
      </c>
      <c r="U19" s="7" t="s">
        <v>43</v>
      </c>
      <c r="V19" s="7" t="s">
        <v>44</v>
      </c>
      <c r="W19" s="7" t="s">
        <v>115</v>
      </c>
      <c r="X19" s="7" t="s">
        <v>116</v>
      </c>
      <c r="Y19" s="7" t="s">
        <v>63</v>
      </c>
      <c r="Z19" s="7">
        <v>45461.0</v>
      </c>
      <c r="AA19" s="7" t="s">
        <v>64</v>
      </c>
      <c r="AB19" s="7" t="s">
        <v>82</v>
      </c>
      <c r="AC19" s="7" t="s">
        <v>225</v>
      </c>
    </row>
    <row r="20">
      <c r="A20" s="7" t="s">
        <v>226</v>
      </c>
      <c r="B20" s="7" t="s">
        <v>227</v>
      </c>
      <c r="C20" s="7" t="s">
        <v>228</v>
      </c>
      <c r="D20" s="7" t="s">
        <v>229</v>
      </c>
      <c r="E20" s="8">
        <f>+999-555-1018</f>
        <v>-574</v>
      </c>
      <c r="F20" s="9">
        <v>35995.0</v>
      </c>
      <c r="G20" s="7" t="s">
        <v>230</v>
      </c>
      <c r="H20" s="7" t="s">
        <v>231</v>
      </c>
      <c r="I20" s="7" t="s">
        <v>232</v>
      </c>
      <c r="J20" s="7" t="s">
        <v>36</v>
      </c>
      <c r="K20" s="7" t="s">
        <v>37</v>
      </c>
      <c r="L20" s="7" t="s">
        <v>233</v>
      </c>
      <c r="M20" s="7" t="s">
        <v>39</v>
      </c>
      <c r="N20" s="7" t="s">
        <v>37</v>
      </c>
      <c r="O20" s="7" t="s">
        <v>40</v>
      </c>
      <c r="P20" s="7" t="s">
        <v>41</v>
      </c>
      <c r="Q20" s="7">
        <v>14.74</v>
      </c>
      <c r="R20" s="8"/>
      <c r="S20" s="7">
        <v>37.5</v>
      </c>
      <c r="T20" s="7" t="s">
        <v>42</v>
      </c>
      <c r="U20" s="7" t="s">
        <v>43</v>
      </c>
      <c r="V20" s="7" t="s">
        <v>44</v>
      </c>
      <c r="W20" s="7" t="s">
        <v>45</v>
      </c>
      <c r="X20" s="7" t="s">
        <v>46</v>
      </c>
      <c r="Y20" s="7" t="s">
        <v>80</v>
      </c>
      <c r="Z20" s="7">
        <v>45857.0</v>
      </c>
      <c r="AA20" s="7" t="s">
        <v>81</v>
      </c>
      <c r="AB20" s="7" t="s">
        <v>49</v>
      </c>
      <c r="AC20" s="7" t="s">
        <v>234</v>
      </c>
    </row>
    <row r="21">
      <c r="A21" s="7" t="s">
        <v>235</v>
      </c>
      <c r="B21" s="7" t="s">
        <v>236</v>
      </c>
      <c r="C21" s="7" t="s">
        <v>237</v>
      </c>
      <c r="D21" s="7" t="s">
        <v>238</v>
      </c>
      <c r="E21" s="8">
        <f>+999-555-1019</f>
        <v>-575</v>
      </c>
      <c r="F21" s="9">
        <v>36392.0</v>
      </c>
      <c r="G21" s="7" t="s">
        <v>239</v>
      </c>
      <c r="H21" s="7" t="s">
        <v>240</v>
      </c>
      <c r="I21" s="7" t="s">
        <v>241</v>
      </c>
      <c r="J21" s="7" t="s">
        <v>58</v>
      </c>
      <c r="K21" s="7" t="s">
        <v>37</v>
      </c>
      <c r="L21" s="7" t="s">
        <v>242</v>
      </c>
      <c r="M21" s="7" t="s">
        <v>39</v>
      </c>
      <c r="N21" s="7" t="s">
        <v>37</v>
      </c>
      <c r="O21" s="7" t="s">
        <v>60</v>
      </c>
      <c r="P21" s="7" t="s">
        <v>41</v>
      </c>
      <c r="Q21" s="7">
        <v>15.17</v>
      </c>
      <c r="R21" s="8"/>
      <c r="S21" s="7">
        <v>40.0</v>
      </c>
      <c r="T21" s="7" t="s">
        <v>42</v>
      </c>
      <c r="U21" s="7" t="s">
        <v>43</v>
      </c>
      <c r="V21" s="7" t="s">
        <v>44</v>
      </c>
      <c r="W21" s="7" t="s">
        <v>61</v>
      </c>
      <c r="X21" s="7" t="s">
        <v>62</v>
      </c>
      <c r="Y21" s="7" t="s">
        <v>94</v>
      </c>
      <c r="Z21" s="7">
        <v>46254.0</v>
      </c>
      <c r="AA21" s="7" t="s">
        <v>82</v>
      </c>
      <c r="AB21" s="7" t="s">
        <v>65</v>
      </c>
      <c r="AC21" s="7" t="s">
        <v>243</v>
      </c>
    </row>
    <row r="22">
      <c r="A22" s="7" t="s">
        <v>244</v>
      </c>
      <c r="B22" s="7" t="s">
        <v>245</v>
      </c>
      <c r="C22" s="7" t="s">
        <v>246</v>
      </c>
      <c r="D22" s="7" t="s">
        <v>247</v>
      </c>
      <c r="E22" s="8">
        <f>+999-555-1020</f>
        <v>-576</v>
      </c>
      <c r="F22" s="9">
        <v>36790.0</v>
      </c>
      <c r="G22" s="7" t="s">
        <v>248</v>
      </c>
      <c r="H22" s="7" t="s">
        <v>249</v>
      </c>
      <c r="I22" s="7" t="s">
        <v>250</v>
      </c>
      <c r="J22" s="7" t="s">
        <v>74</v>
      </c>
      <c r="K22" s="7" t="s">
        <v>37</v>
      </c>
      <c r="L22" s="7" t="s">
        <v>251</v>
      </c>
      <c r="M22" s="7" t="s">
        <v>39</v>
      </c>
      <c r="N22" s="7" t="s">
        <v>37</v>
      </c>
      <c r="O22" s="7" t="s">
        <v>76</v>
      </c>
      <c r="P22" s="7" t="s">
        <v>77</v>
      </c>
      <c r="Q22" s="8"/>
      <c r="R22" s="7">
        <v>17316.0</v>
      </c>
      <c r="S22" s="7">
        <v>20.0</v>
      </c>
      <c r="T22" s="7" t="s">
        <v>42</v>
      </c>
      <c r="U22" s="7" t="s">
        <v>43</v>
      </c>
      <c r="V22" s="7" t="s">
        <v>44</v>
      </c>
      <c r="W22" s="7" t="s">
        <v>78</v>
      </c>
      <c r="X22" s="7" t="s">
        <v>79</v>
      </c>
      <c r="Y22" s="7" t="s">
        <v>47</v>
      </c>
      <c r="Z22" s="7">
        <v>45170.0</v>
      </c>
      <c r="AA22" s="7" t="s">
        <v>48</v>
      </c>
      <c r="AB22" s="7" t="s">
        <v>82</v>
      </c>
      <c r="AC22" s="7" t="s">
        <v>252</v>
      </c>
    </row>
    <row r="23">
      <c r="A23" s="7" t="s">
        <v>253</v>
      </c>
      <c r="B23" s="7" t="s">
        <v>254</v>
      </c>
      <c r="C23" s="7" t="s">
        <v>255</v>
      </c>
      <c r="D23" s="7" t="s">
        <v>256</v>
      </c>
      <c r="E23" s="8">
        <f>+999-555-1021</f>
        <v>-577</v>
      </c>
      <c r="F23" s="9">
        <v>37186.0</v>
      </c>
      <c r="G23" s="7" t="s">
        <v>257</v>
      </c>
      <c r="H23" s="7" t="s">
        <v>258</v>
      </c>
      <c r="I23" s="7" t="s">
        <v>259</v>
      </c>
      <c r="J23" s="7" t="s">
        <v>36</v>
      </c>
      <c r="K23" s="7" t="s">
        <v>37</v>
      </c>
      <c r="L23" s="7" t="s">
        <v>260</v>
      </c>
      <c r="M23" s="7" t="s">
        <v>39</v>
      </c>
      <c r="N23" s="7" t="s">
        <v>37</v>
      </c>
      <c r="O23" s="7" t="s">
        <v>40</v>
      </c>
      <c r="P23" s="7" t="s">
        <v>41</v>
      </c>
      <c r="Q23" s="7">
        <v>16.03</v>
      </c>
      <c r="R23" s="8"/>
      <c r="S23" s="7">
        <v>32.0</v>
      </c>
      <c r="T23" s="7" t="s">
        <v>42</v>
      </c>
      <c r="U23" s="7" t="s">
        <v>43</v>
      </c>
      <c r="V23" s="7" t="s">
        <v>44</v>
      </c>
      <c r="W23" s="7" t="s">
        <v>92</v>
      </c>
      <c r="X23" s="7" t="s">
        <v>93</v>
      </c>
      <c r="Y23" s="7" t="s">
        <v>63</v>
      </c>
      <c r="Z23" s="7">
        <v>45567.0</v>
      </c>
      <c r="AA23" s="7" t="s">
        <v>64</v>
      </c>
      <c r="AB23" s="7" t="s">
        <v>49</v>
      </c>
      <c r="AC23" s="7" t="s">
        <v>261</v>
      </c>
    </row>
    <row r="24">
      <c r="A24" s="7" t="s">
        <v>262</v>
      </c>
      <c r="B24" s="7" t="s">
        <v>263</v>
      </c>
      <c r="C24" s="7" t="s">
        <v>264</v>
      </c>
      <c r="D24" s="7" t="s">
        <v>265</v>
      </c>
      <c r="E24" s="8">
        <f>+999-555-1022</f>
        <v>-578</v>
      </c>
      <c r="F24" s="9">
        <v>29548.0</v>
      </c>
      <c r="G24" s="7" t="s">
        <v>266</v>
      </c>
      <c r="H24" s="7" t="s">
        <v>267</v>
      </c>
      <c r="I24" s="7" t="s">
        <v>268</v>
      </c>
      <c r="J24" s="7" t="s">
        <v>58</v>
      </c>
      <c r="K24" s="7" t="s">
        <v>37</v>
      </c>
      <c r="L24" s="7" t="s">
        <v>269</v>
      </c>
      <c r="M24" s="7" t="s">
        <v>39</v>
      </c>
      <c r="N24" s="7" t="s">
        <v>37</v>
      </c>
      <c r="O24" s="7" t="s">
        <v>60</v>
      </c>
      <c r="P24" s="7" t="s">
        <v>41</v>
      </c>
      <c r="Q24" s="7">
        <v>16.46</v>
      </c>
      <c r="R24" s="8"/>
      <c r="S24" s="7">
        <v>35.0</v>
      </c>
      <c r="T24" s="7" t="s">
        <v>42</v>
      </c>
      <c r="U24" s="7" t="s">
        <v>43</v>
      </c>
      <c r="V24" s="7" t="s">
        <v>44</v>
      </c>
      <c r="W24" s="7" t="s">
        <v>104</v>
      </c>
      <c r="X24" s="7" t="s">
        <v>105</v>
      </c>
      <c r="Y24" s="7" t="s">
        <v>80</v>
      </c>
      <c r="Z24" s="7">
        <v>45964.0</v>
      </c>
      <c r="AA24" s="7" t="s">
        <v>81</v>
      </c>
      <c r="AB24" s="7" t="s">
        <v>65</v>
      </c>
      <c r="AC24" s="7" t="s">
        <v>270</v>
      </c>
    </row>
    <row r="25">
      <c r="A25" s="7" t="s">
        <v>271</v>
      </c>
      <c r="B25" s="7" t="s">
        <v>272</v>
      </c>
      <c r="C25" s="7" t="s">
        <v>273</v>
      </c>
      <c r="D25" s="7" t="s">
        <v>274</v>
      </c>
      <c r="E25" s="8">
        <f>+999-555-1023</f>
        <v>-579</v>
      </c>
      <c r="F25" s="9">
        <v>29944.0</v>
      </c>
      <c r="G25" s="7" t="s">
        <v>275</v>
      </c>
      <c r="H25" s="7" t="s">
        <v>276</v>
      </c>
      <c r="I25" s="7" t="s">
        <v>277</v>
      </c>
      <c r="J25" s="7" t="s">
        <v>74</v>
      </c>
      <c r="K25" s="7" t="s">
        <v>37</v>
      </c>
      <c r="L25" s="7" t="s">
        <v>278</v>
      </c>
      <c r="M25" s="7" t="s">
        <v>39</v>
      </c>
      <c r="N25" s="7" t="s">
        <v>37</v>
      </c>
      <c r="O25" s="7" t="s">
        <v>76</v>
      </c>
      <c r="P25" s="7" t="s">
        <v>77</v>
      </c>
      <c r="Q25" s="8"/>
      <c r="R25" s="7">
        <v>35217.0</v>
      </c>
      <c r="S25" s="7">
        <v>37.5</v>
      </c>
      <c r="T25" s="7" t="s">
        <v>42</v>
      </c>
      <c r="U25" s="7" t="s">
        <v>43</v>
      </c>
      <c r="V25" s="7" t="s">
        <v>44</v>
      </c>
      <c r="W25" s="7" t="s">
        <v>115</v>
      </c>
      <c r="X25" s="7" t="s">
        <v>116</v>
      </c>
      <c r="Y25" s="7" t="s">
        <v>94</v>
      </c>
      <c r="Z25" s="7">
        <v>46360.0</v>
      </c>
      <c r="AA25" s="7" t="s">
        <v>82</v>
      </c>
      <c r="AB25" s="7" t="s">
        <v>82</v>
      </c>
      <c r="AC25" s="7" t="s">
        <v>279</v>
      </c>
    </row>
    <row r="26">
      <c r="A26" s="7" t="s">
        <v>280</v>
      </c>
      <c r="B26" s="7" t="s">
        <v>281</v>
      </c>
      <c r="C26" s="7" t="s">
        <v>31</v>
      </c>
      <c r="D26" s="7" t="s">
        <v>282</v>
      </c>
      <c r="E26" s="8">
        <f>+999-555-1024</f>
        <v>-580</v>
      </c>
      <c r="F26" s="9">
        <v>29976.0</v>
      </c>
      <c r="G26" s="7" t="s">
        <v>283</v>
      </c>
      <c r="H26" s="7" t="s">
        <v>284</v>
      </c>
      <c r="I26" s="7" t="s">
        <v>285</v>
      </c>
      <c r="J26" s="7" t="s">
        <v>286</v>
      </c>
      <c r="K26" s="7" t="s">
        <v>287</v>
      </c>
      <c r="L26" s="7" t="s">
        <v>288</v>
      </c>
      <c r="M26" s="7" t="s">
        <v>39</v>
      </c>
      <c r="N26" s="7" t="s">
        <v>287</v>
      </c>
      <c r="O26" s="7" t="s">
        <v>289</v>
      </c>
      <c r="P26" s="7" t="s">
        <v>41</v>
      </c>
      <c r="Q26" s="7">
        <v>17.32</v>
      </c>
      <c r="R26" s="8"/>
      <c r="S26" s="7">
        <v>40.0</v>
      </c>
      <c r="T26" s="7" t="s">
        <v>42</v>
      </c>
      <c r="U26" s="7" t="s">
        <v>43</v>
      </c>
      <c r="V26" s="7" t="s">
        <v>44</v>
      </c>
      <c r="W26" s="7" t="s">
        <v>45</v>
      </c>
      <c r="X26" s="7" t="s">
        <v>46</v>
      </c>
      <c r="Y26" s="7" t="s">
        <v>47</v>
      </c>
      <c r="Z26" s="7">
        <v>44931.0</v>
      </c>
      <c r="AA26" s="7" t="s">
        <v>48</v>
      </c>
      <c r="AB26" s="7" t="s">
        <v>49</v>
      </c>
      <c r="AC26" s="7" t="s">
        <v>290</v>
      </c>
    </row>
    <row r="27">
      <c r="A27" s="7" t="s">
        <v>291</v>
      </c>
      <c r="B27" s="7" t="s">
        <v>292</v>
      </c>
      <c r="C27" s="7" t="s">
        <v>53</v>
      </c>
      <c r="D27" s="7" t="s">
        <v>293</v>
      </c>
      <c r="E27" s="8">
        <f>+999-555-1025</f>
        <v>-581</v>
      </c>
      <c r="F27" s="9">
        <v>30373.0</v>
      </c>
      <c r="G27" s="7" t="s">
        <v>294</v>
      </c>
      <c r="H27" s="7" t="s">
        <v>295</v>
      </c>
      <c r="I27" s="7" t="s">
        <v>296</v>
      </c>
      <c r="J27" s="7" t="s">
        <v>297</v>
      </c>
      <c r="K27" s="7" t="s">
        <v>287</v>
      </c>
      <c r="L27" s="7" t="s">
        <v>298</v>
      </c>
      <c r="M27" s="7" t="s">
        <v>39</v>
      </c>
      <c r="N27" s="7" t="s">
        <v>287</v>
      </c>
      <c r="O27" s="7" t="s">
        <v>299</v>
      </c>
      <c r="P27" s="7" t="s">
        <v>41</v>
      </c>
      <c r="Q27" s="7">
        <v>17.75</v>
      </c>
      <c r="R27" s="8"/>
      <c r="S27" s="7">
        <v>20.0</v>
      </c>
      <c r="T27" s="7" t="s">
        <v>42</v>
      </c>
      <c r="U27" s="7" t="s">
        <v>43</v>
      </c>
      <c r="V27" s="7" t="s">
        <v>44</v>
      </c>
      <c r="W27" s="7" t="s">
        <v>61</v>
      </c>
      <c r="X27" s="7" t="s">
        <v>62</v>
      </c>
      <c r="Y27" s="7" t="s">
        <v>63</v>
      </c>
      <c r="Z27" s="7">
        <v>45328.0</v>
      </c>
      <c r="AA27" s="7" t="s">
        <v>64</v>
      </c>
      <c r="AB27" s="7" t="s">
        <v>65</v>
      </c>
      <c r="AC27" s="7" t="s">
        <v>300</v>
      </c>
    </row>
    <row r="28">
      <c r="A28" s="7" t="s">
        <v>301</v>
      </c>
      <c r="B28" s="7" t="s">
        <v>302</v>
      </c>
      <c r="C28" s="7" t="s">
        <v>69</v>
      </c>
      <c r="D28" s="7" t="s">
        <v>303</v>
      </c>
      <c r="E28" s="8">
        <f>+999-555-1026</f>
        <v>-582</v>
      </c>
      <c r="F28" s="9">
        <v>30768.0</v>
      </c>
      <c r="G28" s="7" t="s">
        <v>304</v>
      </c>
      <c r="H28" s="7" t="s">
        <v>305</v>
      </c>
      <c r="I28" s="7" t="s">
        <v>306</v>
      </c>
      <c r="J28" s="7" t="s">
        <v>307</v>
      </c>
      <c r="K28" s="7" t="s">
        <v>287</v>
      </c>
      <c r="L28" s="7" t="s">
        <v>308</v>
      </c>
      <c r="M28" s="7" t="s">
        <v>39</v>
      </c>
      <c r="N28" s="7" t="s">
        <v>287</v>
      </c>
      <c r="O28" s="7" t="s">
        <v>309</v>
      </c>
      <c r="P28" s="7" t="s">
        <v>77</v>
      </c>
      <c r="Q28" s="8"/>
      <c r="R28" s="7">
        <v>32398.0</v>
      </c>
      <c r="S28" s="7">
        <v>32.0</v>
      </c>
      <c r="T28" s="7" t="s">
        <v>42</v>
      </c>
      <c r="U28" s="7" t="s">
        <v>43</v>
      </c>
      <c r="V28" s="7" t="s">
        <v>44</v>
      </c>
      <c r="W28" s="7" t="s">
        <v>78</v>
      </c>
      <c r="X28" s="7" t="s">
        <v>79</v>
      </c>
      <c r="Y28" s="7" t="s">
        <v>80</v>
      </c>
      <c r="Z28" s="7">
        <v>45723.0</v>
      </c>
      <c r="AA28" s="7" t="s">
        <v>81</v>
      </c>
      <c r="AB28" s="7" t="s">
        <v>82</v>
      </c>
      <c r="AC28" s="7" t="s">
        <v>310</v>
      </c>
    </row>
    <row r="29">
      <c r="A29" s="7" t="s">
        <v>311</v>
      </c>
      <c r="B29" s="7" t="s">
        <v>312</v>
      </c>
      <c r="C29" s="7" t="s">
        <v>86</v>
      </c>
      <c r="D29" s="7" t="s">
        <v>313</v>
      </c>
      <c r="E29" s="8">
        <f>+999-555-1027</f>
        <v>-583</v>
      </c>
      <c r="F29" s="9">
        <v>31138.0</v>
      </c>
      <c r="G29" s="7" t="s">
        <v>314</v>
      </c>
      <c r="H29" s="7" t="s">
        <v>315</v>
      </c>
      <c r="I29" s="7" t="s">
        <v>316</v>
      </c>
      <c r="J29" s="7" t="s">
        <v>286</v>
      </c>
      <c r="K29" s="7" t="s">
        <v>287</v>
      </c>
      <c r="L29" s="7" t="s">
        <v>317</v>
      </c>
      <c r="M29" s="7" t="s">
        <v>39</v>
      </c>
      <c r="N29" s="7" t="s">
        <v>287</v>
      </c>
      <c r="O29" s="7" t="s">
        <v>289</v>
      </c>
      <c r="P29" s="7" t="s">
        <v>41</v>
      </c>
      <c r="Q29" s="7">
        <v>18.61</v>
      </c>
      <c r="R29" s="8"/>
      <c r="S29" s="7">
        <v>35.0</v>
      </c>
      <c r="T29" s="7" t="s">
        <v>42</v>
      </c>
      <c r="U29" s="7" t="s">
        <v>43</v>
      </c>
      <c r="V29" s="7" t="s">
        <v>44</v>
      </c>
      <c r="W29" s="7" t="s">
        <v>92</v>
      </c>
      <c r="X29" s="7" t="s">
        <v>93</v>
      </c>
      <c r="Y29" s="7" t="s">
        <v>94</v>
      </c>
      <c r="Z29" s="7">
        <v>46120.0</v>
      </c>
      <c r="AA29" s="7" t="s">
        <v>82</v>
      </c>
      <c r="AB29" s="7" t="s">
        <v>49</v>
      </c>
      <c r="AC29" s="7" t="s">
        <v>318</v>
      </c>
    </row>
    <row r="30">
      <c r="A30" s="7" t="s">
        <v>319</v>
      </c>
      <c r="B30" s="7" t="s">
        <v>320</v>
      </c>
      <c r="C30" s="7" t="s">
        <v>98</v>
      </c>
      <c r="D30" s="7" t="s">
        <v>321</v>
      </c>
      <c r="E30" s="8">
        <f>+999-555-1028</f>
        <v>-584</v>
      </c>
      <c r="F30" s="9">
        <v>31534.0</v>
      </c>
      <c r="G30" s="7" t="s">
        <v>322</v>
      </c>
      <c r="H30" s="7" t="s">
        <v>323</v>
      </c>
      <c r="I30" s="7" t="s">
        <v>324</v>
      </c>
      <c r="J30" s="7" t="s">
        <v>297</v>
      </c>
      <c r="K30" s="7" t="s">
        <v>287</v>
      </c>
      <c r="L30" s="7" t="s">
        <v>325</v>
      </c>
      <c r="M30" s="7" t="s">
        <v>39</v>
      </c>
      <c r="N30" s="7" t="s">
        <v>287</v>
      </c>
      <c r="O30" s="7" t="s">
        <v>299</v>
      </c>
      <c r="P30" s="7" t="s">
        <v>41</v>
      </c>
      <c r="Q30" s="7">
        <v>19.04</v>
      </c>
      <c r="R30" s="8"/>
      <c r="S30" s="7">
        <v>37.5</v>
      </c>
      <c r="T30" s="7" t="s">
        <v>42</v>
      </c>
      <c r="U30" s="7" t="s">
        <v>43</v>
      </c>
      <c r="V30" s="7" t="s">
        <v>44</v>
      </c>
      <c r="W30" s="7" t="s">
        <v>104</v>
      </c>
      <c r="X30" s="7" t="s">
        <v>105</v>
      </c>
      <c r="Y30" s="7" t="s">
        <v>47</v>
      </c>
      <c r="Z30" s="7">
        <v>45055.0</v>
      </c>
      <c r="AA30" s="7" t="s">
        <v>48</v>
      </c>
      <c r="AB30" s="7" t="s">
        <v>65</v>
      </c>
      <c r="AC30" s="7" t="s">
        <v>326</v>
      </c>
    </row>
    <row r="31">
      <c r="A31" s="7" t="s">
        <v>327</v>
      </c>
      <c r="B31" s="7" t="s">
        <v>328</v>
      </c>
      <c r="C31" s="7" t="s">
        <v>109</v>
      </c>
      <c r="D31" s="7" t="s">
        <v>329</v>
      </c>
      <c r="E31" s="8">
        <f>+999-555-1029</f>
        <v>-585</v>
      </c>
      <c r="F31" s="9">
        <v>31931.0</v>
      </c>
      <c r="G31" s="7" t="s">
        <v>330</v>
      </c>
      <c r="H31" s="7" t="s">
        <v>331</v>
      </c>
      <c r="I31" s="7" t="s">
        <v>332</v>
      </c>
      <c r="J31" s="7" t="s">
        <v>307</v>
      </c>
      <c r="K31" s="7" t="s">
        <v>287</v>
      </c>
      <c r="L31" s="7" t="s">
        <v>333</v>
      </c>
      <c r="M31" s="7" t="s">
        <v>39</v>
      </c>
      <c r="N31" s="7" t="s">
        <v>287</v>
      </c>
      <c r="O31" s="7" t="s">
        <v>309</v>
      </c>
      <c r="P31" s="7" t="s">
        <v>77</v>
      </c>
      <c r="Q31" s="8"/>
      <c r="R31" s="7">
        <v>16390.0</v>
      </c>
      <c r="S31" s="7">
        <v>40.0</v>
      </c>
      <c r="T31" s="7" t="s">
        <v>42</v>
      </c>
      <c r="U31" s="7" t="s">
        <v>43</v>
      </c>
      <c r="V31" s="7" t="s">
        <v>44</v>
      </c>
      <c r="W31" s="7" t="s">
        <v>115</v>
      </c>
      <c r="X31" s="7" t="s">
        <v>116</v>
      </c>
      <c r="Y31" s="7" t="s">
        <v>63</v>
      </c>
      <c r="Z31" s="7">
        <v>45453.0</v>
      </c>
      <c r="AA31" s="7" t="s">
        <v>64</v>
      </c>
      <c r="AB31" s="7" t="s">
        <v>82</v>
      </c>
      <c r="AC31" s="7" t="s">
        <v>334</v>
      </c>
    </row>
    <row r="32">
      <c r="A32" s="7" t="s">
        <v>335</v>
      </c>
      <c r="B32" s="7" t="s">
        <v>336</v>
      </c>
      <c r="C32" s="7" t="s">
        <v>120</v>
      </c>
      <c r="D32" s="7" t="s">
        <v>337</v>
      </c>
      <c r="E32" s="8">
        <f>+999-555-1030</f>
        <v>-586</v>
      </c>
      <c r="F32" s="9">
        <v>32328.0</v>
      </c>
      <c r="G32" s="7" t="s">
        <v>338</v>
      </c>
      <c r="H32" s="7" t="s">
        <v>339</v>
      </c>
      <c r="I32" s="7" t="s">
        <v>340</v>
      </c>
      <c r="J32" s="7" t="s">
        <v>286</v>
      </c>
      <c r="K32" s="7" t="s">
        <v>287</v>
      </c>
      <c r="L32" s="7" t="s">
        <v>341</v>
      </c>
      <c r="M32" s="7" t="s">
        <v>39</v>
      </c>
      <c r="N32" s="7" t="s">
        <v>287</v>
      </c>
      <c r="O32" s="7" t="s">
        <v>289</v>
      </c>
      <c r="P32" s="7" t="s">
        <v>41</v>
      </c>
      <c r="Q32" s="7">
        <v>19.9</v>
      </c>
      <c r="R32" s="8"/>
      <c r="S32" s="7">
        <v>20.0</v>
      </c>
      <c r="T32" s="7" t="s">
        <v>42</v>
      </c>
      <c r="U32" s="7" t="s">
        <v>43</v>
      </c>
      <c r="V32" s="7" t="s">
        <v>44</v>
      </c>
      <c r="W32" s="7" t="s">
        <v>45</v>
      </c>
      <c r="X32" s="7" t="s">
        <v>46</v>
      </c>
      <c r="Y32" s="7" t="s">
        <v>80</v>
      </c>
      <c r="Z32" s="7">
        <v>45849.0</v>
      </c>
      <c r="AA32" s="7" t="s">
        <v>81</v>
      </c>
      <c r="AB32" s="7" t="s">
        <v>49</v>
      </c>
      <c r="AC32" s="7" t="s">
        <v>342</v>
      </c>
    </row>
    <row r="33">
      <c r="A33" s="7" t="s">
        <v>343</v>
      </c>
      <c r="B33" s="7" t="s">
        <v>344</v>
      </c>
      <c r="C33" s="7" t="s">
        <v>129</v>
      </c>
      <c r="D33" s="7" t="s">
        <v>345</v>
      </c>
      <c r="E33" s="8">
        <f>+999-555-1031</f>
        <v>-587</v>
      </c>
      <c r="F33" s="9">
        <v>32725.0</v>
      </c>
      <c r="G33" s="7" t="s">
        <v>346</v>
      </c>
      <c r="H33" s="7" t="s">
        <v>347</v>
      </c>
      <c r="I33" s="7" t="s">
        <v>348</v>
      </c>
      <c r="J33" s="7" t="s">
        <v>297</v>
      </c>
      <c r="K33" s="7" t="s">
        <v>287</v>
      </c>
      <c r="L33" s="7" t="s">
        <v>349</v>
      </c>
      <c r="M33" s="7" t="s">
        <v>39</v>
      </c>
      <c r="N33" s="7" t="s">
        <v>287</v>
      </c>
      <c r="O33" s="7" t="s">
        <v>299</v>
      </c>
      <c r="P33" s="7" t="s">
        <v>41</v>
      </c>
      <c r="Q33" s="7">
        <v>7.33</v>
      </c>
      <c r="R33" s="8"/>
      <c r="S33" s="7">
        <v>32.0</v>
      </c>
      <c r="T33" s="7" t="s">
        <v>42</v>
      </c>
      <c r="U33" s="7" t="s">
        <v>43</v>
      </c>
      <c r="V33" s="7" t="s">
        <v>44</v>
      </c>
      <c r="W33" s="7" t="s">
        <v>61</v>
      </c>
      <c r="X33" s="7" t="s">
        <v>62</v>
      </c>
      <c r="Y33" s="7" t="s">
        <v>94</v>
      </c>
      <c r="Z33" s="7">
        <v>46246.0</v>
      </c>
      <c r="AA33" s="7" t="s">
        <v>82</v>
      </c>
      <c r="AB33" s="7" t="s">
        <v>65</v>
      </c>
      <c r="AC33" s="7" t="s">
        <v>350</v>
      </c>
    </row>
    <row r="34">
      <c r="A34" s="7" t="s">
        <v>351</v>
      </c>
      <c r="B34" s="7" t="s">
        <v>352</v>
      </c>
      <c r="C34" s="7" t="s">
        <v>138</v>
      </c>
      <c r="D34" s="7" t="s">
        <v>353</v>
      </c>
      <c r="E34" s="8">
        <f>+999-555-1032</f>
        <v>-588</v>
      </c>
      <c r="F34" s="9">
        <v>33122.0</v>
      </c>
      <c r="G34" s="7" t="s">
        <v>354</v>
      </c>
      <c r="H34" s="7" t="s">
        <v>355</v>
      </c>
      <c r="I34" s="7" t="s">
        <v>356</v>
      </c>
      <c r="J34" s="7" t="s">
        <v>307</v>
      </c>
      <c r="K34" s="7" t="s">
        <v>287</v>
      </c>
      <c r="L34" s="7" t="s">
        <v>357</v>
      </c>
      <c r="M34" s="7" t="s">
        <v>39</v>
      </c>
      <c r="N34" s="7" t="s">
        <v>287</v>
      </c>
      <c r="O34" s="7" t="s">
        <v>309</v>
      </c>
      <c r="P34" s="7" t="s">
        <v>77</v>
      </c>
      <c r="Q34" s="8"/>
      <c r="R34" s="7">
        <v>16908.0</v>
      </c>
      <c r="S34" s="7">
        <v>35.0</v>
      </c>
      <c r="T34" s="7" t="s">
        <v>42</v>
      </c>
      <c r="U34" s="7" t="s">
        <v>43</v>
      </c>
      <c r="V34" s="7" t="s">
        <v>44</v>
      </c>
      <c r="W34" s="7" t="s">
        <v>78</v>
      </c>
      <c r="X34" s="7" t="s">
        <v>79</v>
      </c>
      <c r="Y34" s="7" t="s">
        <v>47</v>
      </c>
      <c r="Z34" s="7">
        <v>45182.0</v>
      </c>
      <c r="AA34" s="7" t="s">
        <v>48</v>
      </c>
      <c r="AB34" s="7" t="s">
        <v>82</v>
      </c>
      <c r="AC34" s="7" t="s">
        <v>358</v>
      </c>
    </row>
    <row r="35">
      <c r="A35" s="7" t="s">
        <v>359</v>
      </c>
      <c r="B35" s="7" t="s">
        <v>360</v>
      </c>
      <c r="C35" s="7" t="s">
        <v>147</v>
      </c>
      <c r="D35" s="7" t="s">
        <v>361</v>
      </c>
      <c r="E35" s="8">
        <f>+999-555-1033</f>
        <v>-589</v>
      </c>
      <c r="F35" s="9">
        <v>33518.0</v>
      </c>
      <c r="G35" s="7" t="s">
        <v>362</v>
      </c>
      <c r="H35" s="7" t="s">
        <v>363</v>
      </c>
      <c r="I35" s="7" t="s">
        <v>364</v>
      </c>
      <c r="J35" s="7" t="s">
        <v>286</v>
      </c>
      <c r="K35" s="7" t="s">
        <v>287</v>
      </c>
      <c r="L35" s="7" t="s">
        <v>365</v>
      </c>
      <c r="M35" s="7" t="s">
        <v>39</v>
      </c>
      <c r="N35" s="7" t="s">
        <v>287</v>
      </c>
      <c r="O35" s="7" t="s">
        <v>289</v>
      </c>
      <c r="P35" s="7" t="s">
        <v>41</v>
      </c>
      <c r="Q35" s="7">
        <v>8.19</v>
      </c>
      <c r="R35" s="8"/>
      <c r="S35" s="7">
        <v>37.5</v>
      </c>
      <c r="T35" s="7" t="s">
        <v>42</v>
      </c>
      <c r="U35" s="7" t="s">
        <v>43</v>
      </c>
      <c r="V35" s="7" t="s">
        <v>44</v>
      </c>
      <c r="W35" s="7" t="s">
        <v>92</v>
      </c>
      <c r="X35" s="7" t="s">
        <v>93</v>
      </c>
      <c r="Y35" s="7" t="s">
        <v>63</v>
      </c>
      <c r="Z35" s="7">
        <v>45579.0</v>
      </c>
      <c r="AA35" s="7" t="s">
        <v>64</v>
      </c>
      <c r="AB35" s="7" t="s">
        <v>49</v>
      </c>
      <c r="AC35" s="7" t="s">
        <v>366</v>
      </c>
    </row>
    <row r="36">
      <c r="A36" s="7" t="s">
        <v>367</v>
      </c>
      <c r="B36" s="7" t="s">
        <v>368</v>
      </c>
      <c r="C36" s="7" t="s">
        <v>156</v>
      </c>
      <c r="D36" s="7" t="s">
        <v>369</v>
      </c>
      <c r="E36" s="8">
        <f>+999-555-1034</f>
        <v>-590</v>
      </c>
      <c r="F36" s="9">
        <v>33916.0</v>
      </c>
      <c r="G36" s="7" t="s">
        <v>370</v>
      </c>
      <c r="H36" s="7" t="s">
        <v>371</v>
      </c>
      <c r="I36" s="7" t="s">
        <v>372</v>
      </c>
      <c r="J36" s="7" t="s">
        <v>297</v>
      </c>
      <c r="K36" s="7" t="s">
        <v>287</v>
      </c>
      <c r="L36" s="7" t="s">
        <v>373</v>
      </c>
      <c r="M36" s="7" t="s">
        <v>39</v>
      </c>
      <c r="N36" s="7" t="s">
        <v>287</v>
      </c>
      <c r="O36" s="7" t="s">
        <v>299</v>
      </c>
      <c r="P36" s="7" t="s">
        <v>41</v>
      </c>
      <c r="Q36" s="7">
        <v>8.62</v>
      </c>
      <c r="R36" s="8"/>
      <c r="S36" s="7">
        <v>40.0</v>
      </c>
      <c r="T36" s="7" t="s">
        <v>42</v>
      </c>
      <c r="U36" s="7" t="s">
        <v>43</v>
      </c>
      <c r="V36" s="7" t="s">
        <v>44</v>
      </c>
      <c r="W36" s="7" t="s">
        <v>104</v>
      </c>
      <c r="X36" s="7" t="s">
        <v>105</v>
      </c>
      <c r="Y36" s="7" t="s">
        <v>80</v>
      </c>
      <c r="Z36" s="7">
        <v>45976.0</v>
      </c>
      <c r="AA36" s="7" t="s">
        <v>81</v>
      </c>
      <c r="AB36" s="7" t="s">
        <v>65</v>
      </c>
      <c r="AC36" s="7" t="s">
        <v>374</v>
      </c>
    </row>
    <row r="37">
      <c r="A37" s="7" t="s">
        <v>375</v>
      </c>
      <c r="B37" s="7" t="s">
        <v>376</v>
      </c>
      <c r="C37" s="7" t="s">
        <v>165</v>
      </c>
      <c r="D37" s="7" t="s">
        <v>377</v>
      </c>
      <c r="E37" s="8">
        <f>+999-555-1035</f>
        <v>-591</v>
      </c>
      <c r="F37" s="9">
        <v>34312.0</v>
      </c>
      <c r="G37" s="7" t="s">
        <v>378</v>
      </c>
      <c r="H37" s="7" t="s">
        <v>379</v>
      </c>
      <c r="I37" s="7" t="s">
        <v>380</v>
      </c>
      <c r="J37" s="7" t="s">
        <v>307</v>
      </c>
      <c r="K37" s="7" t="s">
        <v>287</v>
      </c>
      <c r="L37" s="7" t="s">
        <v>381</v>
      </c>
      <c r="M37" s="7" t="s">
        <v>39</v>
      </c>
      <c r="N37" s="7" t="s">
        <v>287</v>
      </c>
      <c r="O37" s="7" t="s">
        <v>309</v>
      </c>
      <c r="P37" s="7" t="s">
        <v>77</v>
      </c>
      <c r="Q37" s="8"/>
      <c r="R37" s="7">
        <v>11128.0</v>
      </c>
      <c r="S37" s="7">
        <v>20.0</v>
      </c>
      <c r="T37" s="7" t="s">
        <v>42</v>
      </c>
      <c r="U37" s="7" t="s">
        <v>43</v>
      </c>
      <c r="V37" s="7" t="s">
        <v>44</v>
      </c>
      <c r="W37" s="7" t="s">
        <v>115</v>
      </c>
      <c r="X37" s="7" t="s">
        <v>116</v>
      </c>
      <c r="Y37" s="7" t="s">
        <v>94</v>
      </c>
      <c r="Z37" s="7">
        <v>46372.0</v>
      </c>
      <c r="AA37" s="7" t="s">
        <v>82</v>
      </c>
      <c r="AB37" s="7" t="s">
        <v>82</v>
      </c>
      <c r="AC37" s="7" t="s">
        <v>382</v>
      </c>
    </row>
    <row r="38">
      <c r="A38" s="7" t="s">
        <v>383</v>
      </c>
      <c r="B38" s="7" t="s">
        <v>384</v>
      </c>
      <c r="C38" s="7" t="s">
        <v>174</v>
      </c>
      <c r="D38" s="7" t="s">
        <v>385</v>
      </c>
      <c r="E38" s="8">
        <f>+999-555-1036</f>
        <v>-592</v>
      </c>
      <c r="F38" s="9">
        <v>34344.0</v>
      </c>
      <c r="G38" s="7" t="s">
        <v>386</v>
      </c>
      <c r="H38" s="7" t="s">
        <v>387</v>
      </c>
      <c r="I38" s="7" t="s">
        <v>388</v>
      </c>
      <c r="J38" s="7" t="s">
        <v>286</v>
      </c>
      <c r="K38" s="7" t="s">
        <v>287</v>
      </c>
      <c r="L38" s="7" t="s">
        <v>389</v>
      </c>
      <c r="M38" s="7" t="s">
        <v>39</v>
      </c>
      <c r="N38" s="7" t="s">
        <v>287</v>
      </c>
      <c r="O38" s="7" t="s">
        <v>289</v>
      </c>
      <c r="P38" s="7" t="s">
        <v>41</v>
      </c>
      <c r="Q38" s="7">
        <v>9.48</v>
      </c>
      <c r="R38" s="8"/>
      <c r="S38" s="7">
        <v>32.0</v>
      </c>
      <c r="T38" s="7" t="s">
        <v>42</v>
      </c>
      <c r="U38" s="7" t="s">
        <v>43</v>
      </c>
      <c r="V38" s="7" t="s">
        <v>44</v>
      </c>
      <c r="W38" s="7" t="s">
        <v>45</v>
      </c>
      <c r="X38" s="7" t="s">
        <v>46</v>
      </c>
      <c r="Y38" s="7" t="s">
        <v>47</v>
      </c>
      <c r="Z38" s="7">
        <v>44943.0</v>
      </c>
      <c r="AA38" s="7" t="s">
        <v>48</v>
      </c>
      <c r="AB38" s="7" t="s">
        <v>49</v>
      </c>
      <c r="AC38" s="7" t="s">
        <v>390</v>
      </c>
    </row>
    <row r="39">
      <c r="A39" s="7" t="s">
        <v>391</v>
      </c>
      <c r="B39" s="7" t="s">
        <v>392</v>
      </c>
      <c r="C39" s="7" t="s">
        <v>183</v>
      </c>
      <c r="D39" s="7" t="s">
        <v>393</v>
      </c>
      <c r="E39" s="8">
        <f>+999-555-1037</f>
        <v>-593</v>
      </c>
      <c r="F39" s="9">
        <v>34741.0</v>
      </c>
      <c r="G39" s="7" t="s">
        <v>394</v>
      </c>
      <c r="H39" s="7" t="s">
        <v>395</v>
      </c>
      <c r="I39" s="7" t="s">
        <v>396</v>
      </c>
      <c r="J39" s="7" t="s">
        <v>297</v>
      </c>
      <c r="K39" s="7" t="s">
        <v>287</v>
      </c>
      <c r="L39" s="7" t="s">
        <v>397</v>
      </c>
      <c r="M39" s="7" t="s">
        <v>39</v>
      </c>
      <c r="N39" s="7" t="s">
        <v>287</v>
      </c>
      <c r="O39" s="7" t="s">
        <v>299</v>
      </c>
      <c r="P39" s="7" t="s">
        <v>41</v>
      </c>
      <c r="Q39" s="7">
        <v>9.91</v>
      </c>
      <c r="R39" s="8"/>
      <c r="S39" s="7">
        <v>35.0</v>
      </c>
      <c r="T39" s="7" t="s">
        <v>42</v>
      </c>
      <c r="U39" s="7" t="s">
        <v>43</v>
      </c>
      <c r="V39" s="7" t="s">
        <v>44</v>
      </c>
      <c r="W39" s="7" t="s">
        <v>61</v>
      </c>
      <c r="X39" s="7" t="s">
        <v>62</v>
      </c>
      <c r="Y39" s="7" t="s">
        <v>63</v>
      </c>
      <c r="Z39" s="7">
        <v>45340.0</v>
      </c>
      <c r="AA39" s="7" t="s">
        <v>64</v>
      </c>
      <c r="AB39" s="7" t="s">
        <v>65</v>
      </c>
      <c r="AC39" s="7" t="s">
        <v>398</v>
      </c>
    </row>
    <row r="40">
      <c r="A40" s="7" t="s">
        <v>399</v>
      </c>
      <c r="B40" s="7" t="s">
        <v>400</v>
      </c>
      <c r="C40" s="7" t="s">
        <v>192</v>
      </c>
      <c r="D40" s="7" t="s">
        <v>401</v>
      </c>
      <c r="E40" s="8">
        <f>+999-555-1038</f>
        <v>-594</v>
      </c>
      <c r="F40" s="9">
        <v>35136.0</v>
      </c>
      <c r="G40" s="7" t="s">
        <v>402</v>
      </c>
      <c r="H40" s="7" t="s">
        <v>403</v>
      </c>
      <c r="I40" s="7" t="s">
        <v>404</v>
      </c>
      <c r="J40" s="7" t="s">
        <v>307</v>
      </c>
      <c r="K40" s="7" t="s">
        <v>287</v>
      </c>
      <c r="L40" s="7" t="s">
        <v>405</v>
      </c>
      <c r="M40" s="7" t="s">
        <v>39</v>
      </c>
      <c r="N40" s="7" t="s">
        <v>287</v>
      </c>
      <c r="O40" s="7" t="s">
        <v>309</v>
      </c>
      <c r="P40" s="7" t="s">
        <v>77</v>
      </c>
      <c r="Q40" s="8"/>
      <c r="R40" s="7">
        <v>23615.0</v>
      </c>
      <c r="S40" s="7">
        <v>37.5</v>
      </c>
      <c r="T40" s="7" t="s">
        <v>42</v>
      </c>
      <c r="U40" s="7" t="s">
        <v>43</v>
      </c>
      <c r="V40" s="7" t="s">
        <v>44</v>
      </c>
      <c r="W40" s="7" t="s">
        <v>78</v>
      </c>
      <c r="X40" s="7" t="s">
        <v>79</v>
      </c>
      <c r="Y40" s="7" t="s">
        <v>80</v>
      </c>
      <c r="Z40" s="7">
        <v>45735.0</v>
      </c>
      <c r="AA40" s="7" t="s">
        <v>81</v>
      </c>
      <c r="AB40" s="7" t="s">
        <v>82</v>
      </c>
      <c r="AC40" s="7" t="s">
        <v>406</v>
      </c>
    </row>
    <row r="41">
      <c r="A41" s="7" t="s">
        <v>407</v>
      </c>
      <c r="B41" s="7" t="s">
        <v>408</v>
      </c>
      <c r="C41" s="7" t="s">
        <v>201</v>
      </c>
      <c r="D41" s="7" t="s">
        <v>409</v>
      </c>
      <c r="E41" s="8">
        <f>+999-555-1039</f>
        <v>-595</v>
      </c>
      <c r="F41" s="9">
        <v>35533.0</v>
      </c>
      <c r="G41" s="7" t="s">
        <v>410</v>
      </c>
      <c r="H41" s="7" t="s">
        <v>411</v>
      </c>
      <c r="I41" s="7" t="s">
        <v>412</v>
      </c>
      <c r="J41" s="7" t="s">
        <v>286</v>
      </c>
      <c r="K41" s="7" t="s">
        <v>287</v>
      </c>
      <c r="L41" s="7" t="s">
        <v>413</v>
      </c>
      <c r="M41" s="7" t="s">
        <v>39</v>
      </c>
      <c r="N41" s="7" t="s">
        <v>287</v>
      </c>
      <c r="O41" s="7" t="s">
        <v>289</v>
      </c>
      <c r="P41" s="7" t="s">
        <v>41</v>
      </c>
      <c r="Q41" s="7">
        <v>10.77</v>
      </c>
      <c r="R41" s="8"/>
      <c r="S41" s="7">
        <v>40.0</v>
      </c>
      <c r="T41" s="7" t="s">
        <v>42</v>
      </c>
      <c r="U41" s="7" t="s">
        <v>43</v>
      </c>
      <c r="V41" s="7" t="s">
        <v>44</v>
      </c>
      <c r="W41" s="7" t="s">
        <v>92</v>
      </c>
      <c r="X41" s="7" t="s">
        <v>93</v>
      </c>
      <c r="Y41" s="7" t="s">
        <v>94</v>
      </c>
      <c r="Z41" s="7">
        <v>46132.0</v>
      </c>
      <c r="AA41" s="7" t="s">
        <v>82</v>
      </c>
      <c r="AB41" s="7" t="s">
        <v>49</v>
      </c>
      <c r="AC41" s="7" t="s">
        <v>414</v>
      </c>
    </row>
    <row r="42">
      <c r="A42" s="7" t="s">
        <v>415</v>
      </c>
      <c r="B42" s="7" t="s">
        <v>416</v>
      </c>
      <c r="C42" s="7" t="s">
        <v>210</v>
      </c>
      <c r="D42" s="7" t="s">
        <v>417</v>
      </c>
      <c r="E42" s="8">
        <f>+999-555-1040</f>
        <v>-596</v>
      </c>
      <c r="F42" s="9">
        <v>35929.0</v>
      </c>
      <c r="G42" s="7" t="s">
        <v>418</v>
      </c>
      <c r="H42" s="7" t="s">
        <v>419</v>
      </c>
      <c r="I42" s="7" t="s">
        <v>420</v>
      </c>
      <c r="J42" s="7" t="s">
        <v>297</v>
      </c>
      <c r="K42" s="7" t="s">
        <v>287</v>
      </c>
      <c r="L42" s="7" t="s">
        <v>421</v>
      </c>
      <c r="M42" s="7" t="s">
        <v>39</v>
      </c>
      <c r="N42" s="7" t="s">
        <v>287</v>
      </c>
      <c r="O42" s="7" t="s">
        <v>299</v>
      </c>
      <c r="P42" s="7" t="s">
        <v>41</v>
      </c>
      <c r="Q42" s="7">
        <v>11.2</v>
      </c>
      <c r="R42" s="8"/>
      <c r="S42" s="7">
        <v>20.0</v>
      </c>
      <c r="T42" s="7" t="s">
        <v>42</v>
      </c>
      <c r="U42" s="7" t="s">
        <v>43</v>
      </c>
      <c r="V42" s="7" t="s">
        <v>44</v>
      </c>
      <c r="W42" s="7" t="s">
        <v>104</v>
      </c>
      <c r="X42" s="7" t="s">
        <v>105</v>
      </c>
      <c r="Y42" s="7" t="s">
        <v>47</v>
      </c>
      <c r="Z42" s="7">
        <v>45047.0</v>
      </c>
      <c r="AA42" s="7" t="s">
        <v>48</v>
      </c>
      <c r="AB42" s="7" t="s">
        <v>65</v>
      </c>
      <c r="AC42" s="7" t="s">
        <v>422</v>
      </c>
    </row>
    <row r="43">
      <c r="A43" s="7" t="s">
        <v>423</v>
      </c>
      <c r="B43" s="7" t="s">
        <v>424</v>
      </c>
      <c r="C43" s="7" t="s">
        <v>219</v>
      </c>
      <c r="D43" s="7" t="s">
        <v>425</v>
      </c>
      <c r="E43" s="8">
        <f>+999-555-1041</f>
        <v>-597</v>
      </c>
      <c r="F43" s="9">
        <v>36326.0</v>
      </c>
      <c r="G43" s="7" t="s">
        <v>426</v>
      </c>
      <c r="H43" s="7" t="s">
        <v>427</v>
      </c>
      <c r="I43" s="7" t="s">
        <v>428</v>
      </c>
      <c r="J43" s="7" t="s">
        <v>307</v>
      </c>
      <c r="K43" s="7" t="s">
        <v>287</v>
      </c>
      <c r="L43" s="7" t="s">
        <v>429</v>
      </c>
      <c r="M43" s="7" t="s">
        <v>39</v>
      </c>
      <c r="N43" s="7" t="s">
        <v>287</v>
      </c>
      <c r="O43" s="7" t="s">
        <v>309</v>
      </c>
      <c r="P43" s="7" t="s">
        <v>77</v>
      </c>
      <c r="Q43" s="8"/>
      <c r="R43" s="7">
        <v>22497.0</v>
      </c>
      <c r="S43" s="7">
        <v>32.0</v>
      </c>
      <c r="T43" s="7" t="s">
        <v>42</v>
      </c>
      <c r="U43" s="7" t="s">
        <v>43</v>
      </c>
      <c r="V43" s="7" t="s">
        <v>44</v>
      </c>
      <c r="W43" s="7" t="s">
        <v>115</v>
      </c>
      <c r="X43" s="7" t="s">
        <v>116</v>
      </c>
      <c r="Y43" s="7" t="s">
        <v>63</v>
      </c>
      <c r="Z43" s="7">
        <v>45445.0</v>
      </c>
      <c r="AA43" s="7" t="s">
        <v>64</v>
      </c>
      <c r="AB43" s="7" t="s">
        <v>82</v>
      </c>
      <c r="AC43" s="7" t="s">
        <v>430</v>
      </c>
    </row>
    <row r="44">
      <c r="A44" s="7" t="s">
        <v>431</v>
      </c>
      <c r="B44" s="7" t="s">
        <v>432</v>
      </c>
      <c r="C44" s="7" t="s">
        <v>228</v>
      </c>
      <c r="D44" s="7" t="s">
        <v>433</v>
      </c>
      <c r="E44" s="8">
        <f>+999-555-1042</f>
        <v>-598</v>
      </c>
      <c r="F44" s="9">
        <v>36723.0</v>
      </c>
      <c r="G44" s="7" t="s">
        <v>434</v>
      </c>
      <c r="H44" s="7" t="s">
        <v>435</v>
      </c>
      <c r="I44" s="7" t="s">
        <v>436</v>
      </c>
      <c r="J44" s="7" t="s">
        <v>286</v>
      </c>
      <c r="K44" s="7" t="s">
        <v>287</v>
      </c>
      <c r="L44" s="7" t="s">
        <v>437</v>
      </c>
      <c r="M44" s="7" t="s">
        <v>39</v>
      </c>
      <c r="N44" s="7" t="s">
        <v>287</v>
      </c>
      <c r="O44" s="7" t="s">
        <v>289</v>
      </c>
      <c r="P44" s="7" t="s">
        <v>41</v>
      </c>
      <c r="Q44" s="7">
        <v>12.06</v>
      </c>
      <c r="R44" s="8"/>
      <c r="S44" s="7">
        <v>35.0</v>
      </c>
      <c r="T44" s="7" t="s">
        <v>42</v>
      </c>
      <c r="U44" s="7" t="s">
        <v>43</v>
      </c>
      <c r="V44" s="7" t="s">
        <v>44</v>
      </c>
      <c r="W44" s="7" t="s">
        <v>45</v>
      </c>
      <c r="X44" s="7" t="s">
        <v>46</v>
      </c>
      <c r="Y44" s="7" t="s">
        <v>80</v>
      </c>
      <c r="Z44" s="7">
        <v>45841.0</v>
      </c>
      <c r="AA44" s="7" t="s">
        <v>81</v>
      </c>
      <c r="AB44" s="7" t="s">
        <v>49</v>
      </c>
      <c r="AC44" s="7" t="s">
        <v>438</v>
      </c>
    </row>
    <row r="45">
      <c r="A45" s="7" t="s">
        <v>439</v>
      </c>
      <c r="B45" s="7" t="s">
        <v>440</v>
      </c>
      <c r="C45" s="7" t="s">
        <v>237</v>
      </c>
      <c r="D45" s="7" t="s">
        <v>441</v>
      </c>
      <c r="E45" s="8">
        <f>+999-555-1043</f>
        <v>-599</v>
      </c>
      <c r="F45" s="9">
        <v>37120.0</v>
      </c>
      <c r="G45" s="7" t="s">
        <v>442</v>
      </c>
      <c r="H45" s="7" t="s">
        <v>443</v>
      </c>
      <c r="I45" s="7" t="s">
        <v>444</v>
      </c>
      <c r="J45" s="7" t="s">
        <v>297</v>
      </c>
      <c r="K45" s="7" t="s">
        <v>287</v>
      </c>
      <c r="L45" s="7" t="s">
        <v>445</v>
      </c>
      <c r="M45" s="7" t="s">
        <v>39</v>
      </c>
      <c r="N45" s="7" t="s">
        <v>287</v>
      </c>
      <c r="O45" s="7" t="s">
        <v>299</v>
      </c>
      <c r="P45" s="7" t="s">
        <v>41</v>
      </c>
      <c r="Q45" s="7">
        <v>12.49</v>
      </c>
      <c r="R45" s="8"/>
      <c r="S45" s="7">
        <v>37.5</v>
      </c>
      <c r="T45" s="7" t="s">
        <v>42</v>
      </c>
      <c r="U45" s="7" t="s">
        <v>43</v>
      </c>
      <c r="V45" s="7" t="s">
        <v>44</v>
      </c>
      <c r="W45" s="7" t="s">
        <v>61</v>
      </c>
      <c r="X45" s="7" t="s">
        <v>62</v>
      </c>
      <c r="Y45" s="7" t="s">
        <v>94</v>
      </c>
      <c r="Z45" s="7">
        <v>46238.0</v>
      </c>
      <c r="AA45" s="7" t="s">
        <v>82</v>
      </c>
      <c r="AB45" s="7" t="s">
        <v>65</v>
      </c>
      <c r="AC45" s="7" t="s">
        <v>446</v>
      </c>
    </row>
    <row r="46">
      <c r="A46" s="7" t="s">
        <v>447</v>
      </c>
      <c r="B46" s="7" t="s">
        <v>448</v>
      </c>
      <c r="C46" s="7" t="s">
        <v>246</v>
      </c>
      <c r="D46" s="7" t="s">
        <v>449</v>
      </c>
      <c r="E46" s="8">
        <f>+999-555-1044</f>
        <v>-600</v>
      </c>
      <c r="F46" s="9">
        <v>29482.0</v>
      </c>
      <c r="G46" s="7" t="s">
        <v>450</v>
      </c>
      <c r="H46" s="7" t="s">
        <v>451</v>
      </c>
      <c r="I46" s="7" t="s">
        <v>452</v>
      </c>
      <c r="J46" s="7" t="s">
        <v>307</v>
      </c>
      <c r="K46" s="7" t="s">
        <v>287</v>
      </c>
      <c r="L46" s="7" t="s">
        <v>453</v>
      </c>
      <c r="M46" s="7" t="s">
        <v>39</v>
      </c>
      <c r="N46" s="7" t="s">
        <v>287</v>
      </c>
      <c r="O46" s="7" t="s">
        <v>309</v>
      </c>
      <c r="P46" s="7" t="s">
        <v>77</v>
      </c>
      <c r="Q46" s="8"/>
      <c r="R46" s="7">
        <v>31054.0</v>
      </c>
      <c r="S46" s="7">
        <v>40.0</v>
      </c>
      <c r="T46" s="7" t="s">
        <v>42</v>
      </c>
      <c r="U46" s="7" t="s">
        <v>43</v>
      </c>
      <c r="V46" s="7" t="s">
        <v>44</v>
      </c>
      <c r="W46" s="7" t="s">
        <v>78</v>
      </c>
      <c r="X46" s="7" t="s">
        <v>79</v>
      </c>
      <c r="Y46" s="7" t="s">
        <v>47</v>
      </c>
      <c r="Z46" s="7">
        <v>45174.0</v>
      </c>
      <c r="AA46" s="7" t="s">
        <v>48</v>
      </c>
      <c r="AB46" s="7" t="s">
        <v>82</v>
      </c>
      <c r="AC46" s="7" t="s">
        <v>454</v>
      </c>
    </row>
    <row r="47">
      <c r="A47" s="7" t="s">
        <v>455</v>
      </c>
      <c r="B47" s="7" t="s">
        <v>456</v>
      </c>
      <c r="C47" s="7" t="s">
        <v>255</v>
      </c>
      <c r="D47" s="7" t="s">
        <v>457</v>
      </c>
      <c r="E47" s="8">
        <f>+999-555-1045</f>
        <v>-601</v>
      </c>
      <c r="F47" s="9">
        <v>29878.0</v>
      </c>
      <c r="G47" s="7" t="s">
        <v>458</v>
      </c>
      <c r="H47" s="7" t="s">
        <v>459</v>
      </c>
      <c r="I47" s="7" t="s">
        <v>460</v>
      </c>
      <c r="J47" s="7" t="s">
        <v>286</v>
      </c>
      <c r="K47" s="7" t="s">
        <v>287</v>
      </c>
      <c r="L47" s="7" t="s">
        <v>461</v>
      </c>
      <c r="M47" s="7" t="s">
        <v>39</v>
      </c>
      <c r="N47" s="7" t="s">
        <v>287</v>
      </c>
      <c r="O47" s="7" t="s">
        <v>289</v>
      </c>
      <c r="P47" s="7" t="s">
        <v>41</v>
      </c>
      <c r="Q47" s="7">
        <v>13.35</v>
      </c>
      <c r="R47" s="8"/>
      <c r="S47" s="7">
        <v>20.0</v>
      </c>
      <c r="T47" s="7" t="s">
        <v>42</v>
      </c>
      <c r="U47" s="7" t="s">
        <v>43</v>
      </c>
      <c r="V47" s="7" t="s">
        <v>44</v>
      </c>
      <c r="W47" s="7" t="s">
        <v>92</v>
      </c>
      <c r="X47" s="7" t="s">
        <v>93</v>
      </c>
      <c r="Y47" s="7" t="s">
        <v>63</v>
      </c>
      <c r="Z47" s="7">
        <v>45571.0</v>
      </c>
      <c r="AA47" s="7" t="s">
        <v>64</v>
      </c>
      <c r="AB47" s="7" t="s">
        <v>49</v>
      </c>
      <c r="AC47" s="7" t="s">
        <v>462</v>
      </c>
    </row>
    <row r="48">
      <c r="A48" s="7" t="s">
        <v>463</v>
      </c>
      <c r="B48" s="7" t="s">
        <v>464</v>
      </c>
      <c r="C48" s="7" t="s">
        <v>264</v>
      </c>
      <c r="D48" s="7" t="s">
        <v>465</v>
      </c>
      <c r="E48" s="8">
        <f>+999-555-1046</f>
        <v>-602</v>
      </c>
      <c r="F48" s="9">
        <v>30275.0</v>
      </c>
      <c r="G48" s="7" t="s">
        <v>466</v>
      </c>
      <c r="H48" s="7" t="s">
        <v>467</v>
      </c>
      <c r="I48" s="7" t="s">
        <v>468</v>
      </c>
      <c r="J48" s="7" t="s">
        <v>297</v>
      </c>
      <c r="K48" s="7" t="s">
        <v>287</v>
      </c>
      <c r="L48" s="7" t="s">
        <v>469</v>
      </c>
      <c r="M48" s="7" t="s">
        <v>39</v>
      </c>
      <c r="N48" s="7" t="s">
        <v>287</v>
      </c>
      <c r="O48" s="7" t="s">
        <v>299</v>
      </c>
      <c r="P48" s="7" t="s">
        <v>41</v>
      </c>
      <c r="Q48" s="7">
        <v>13.78</v>
      </c>
      <c r="R48" s="8"/>
      <c r="S48" s="7">
        <v>32.0</v>
      </c>
      <c r="T48" s="7" t="s">
        <v>42</v>
      </c>
      <c r="U48" s="7" t="s">
        <v>43</v>
      </c>
      <c r="V48" s="7" t="s">
        <v>44</v>
      </c>
      <c r="W48" s="7" t="s">
        <v>104</v>
      </c>
      <c r="X48" s="7" t="s">
        <v>105</v>
      </c>
      <c r="Y48" s="7" t="s">
        <v>80</v>
      </c>
      <c r="Z48" s="7">
        <v>45968.0</v>
      </c>
      <c r="AA48" s="7" t="s">
        <v>81</v>
      </c>
      <c r="AB48" s="7" t="s">
        <v>65</v>
      </c>
      <c r="AC48" s="7" t="s">
        <v>470</v>
      </c>
    </row>
    <row r="49">
      <c r="A49" s="10" t="s">
        <v>471</v>
      </c>
      <c r="B49" s="10" t="s">
        <v>472</v>
      </c>
      <c r="C49" s="10" t="s">
        <v>273</v>
      </c>
      <c r="D49" s="10" t="s">
        <v>473</v>
      </c>
      <c r="E49" s="11">
        <f>+999-555-1047</f>
        <v>-603</v>
      </c>
      <c r="F49" s="12">
        <v>30671.0</v>
      </c>
      <c r="G49" s="10" t="s">
        <v>474</v>
      </c>
      <c r="H49" s="10" t="s">
        <v>475</v>
      </c>
      <c r="I49" s="10" t="s">
        <v>476</v>
      </c>
      <c r="J49" s="10" t="s">
        <v>307</v>
      </c>
      <c r="K49" s="10" t="s">
        <v>287</v>
      </c>
      <c r="L49" s="10" t="s">
        <v>477</v>
      </c>
      <c r="M49" s="10" t="s">
        <v>39</v>
      </c>
      <c r="N49" s="10" t="s">
        <v>287</v>
      </c>
      <c r="O49" s="10" t="s">
        <v>309</v>
      </c>
      <c r="P49" s="10" t="s">
        <v>77</v>
      </c>
      <c r="Q49" s="11"/>
      <c r="R49" s="10">
        <v>29739.0</v>
      </c>
      <c r="S49" s="10">
        <v>35.0</v>
      </c>
      <c r="T49" s="10" t="s">
        <v>42</v>
      </c>
      <c r="U49" s="10" t="s">
        <v>43</v>
      </c>
      <c r="V49" s="10" t="s">
        <v>44</v>
      </c>
      <c r="W49" s="10" t="s">
        <v>115</v>
      </c>
      <c r="X49" s="10" t="s">
        <v>116</v>
      </c>
      <c r="Y49" s="10" t="s">
        <v>94</v>
      </c>
      <c r="Z49" s="10">
        <v>46364.0</v>
      </c>
      <c r="AA49" s="10" t="s">
        <v>82</v>
      </c>
      <c r="AB49" s="10" t="s">
        <v>82</v>
      </c>
      <c r="AC49" s="10" t="s">
        <v>478</v>
      </c>
    </row>
  </sheetData>
  <drawing r:id="rId1"/>
</worksheet>
</file>